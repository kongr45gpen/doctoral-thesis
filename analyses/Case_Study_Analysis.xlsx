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konstantinos_kanavouras_uni_lu/Documents/"/>
    </mc:Choice>
  </mc:AlternateContent>
  <xr:revisionPtr revIDLastSave="0" documentId="8_{473F1C48-2327-40D3-B65E-E5F76307F905}" xr6:coauthVersionLast="47" xr6:coauthVersionMax="47" xr10:uidLastSave="{00000000-0000-0000-0000-000000000000}"/>
  <bookViews>
    <workbookView xWindow="38280" yWindow="2985" windowWidth="29040" windowHeight="15720" firstSheet="7" activeTab="6" xr2:uid="{00000000-000D-0000-FFFF-FFFF00000000}"/>
  </bookViews>
  <sheets>
    <sheet name="AUX" sheetId="2" r:id="rId1"/>
    <sheet name="ChipSat-1 Tasks" sheetId="1" r:id="rId2"/>
    <sheet name="ChipSat-1 Trade" sheetId="5" r:id="rId3"/>
    <sheet name="AI4Space Trade" sheetId="7" r:id="rId4"/>
    <sheet name="POQUITO Trade" sheetId="8" r:id="rId5"/>
    <sheet name="ChiPySat Trade" sheetId="9" r:id="rId6"/>
    <sheet name="Sensitivity Analysis" sheetId="6" r:id="rId7"/>
    <sheet name="ChipSat-1 Non-Comformances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E7" i="9"/>
  <c r="E6" i="9"/>
  <c r="E4" i="9"/>
  <c r="D6" i="9"/>
  <c r="D5" i="9"/>
  <c r="E7" i="8"/>
  <c r="D7" i="8"/>
  <c r="E6" i="8"/>
  <c r="D6" i="8"/>
  <c r="E4" i="8"/>
  <c r="E5" i="8"/>
  <c r="D5" i="8"/>
  <c r="D4" i="8"/>
  <c r="D2" i="7"/>
</calcChain>
</file>

<file path=xl/sharedStrings.xml><?xml version="1.0" encoding="utf-8"?>
<sst xmlns="http://schemas.openxmlformats.org/spreadsheetml/2006/main" count="368" uniqueCount="155">
  <si>
    <t>MUST</t>
  </si>
  <si>
    <t>SHOULD</t>
  </si>
  <si>
    <t>CAN</t>
  </si>
  <si>
    <t>WON'T</t>
  </si>
  <si>
    <t>N/A</t>
  </si>
  <si>
    <t>Task</t>
  </si>
  <si>
    <t>Requirement Status</t>
  </si>
  <si>
    <t>Specification Date</t>
  </si>
  <si>
    <t>End Date</t>
  </si>
  <si>
    <t>Comment</t>
  </si>
  <si>
    <t>Kick off meeting</t>
  </si>
  <si>
    <t>1 day</t>
  </si>
  <si>
    <t>Resources assignment</t>
  </si>
  <si>
    <t>Mission statement</t>
  </si>
  <si>
    <t>Mechanical interface definition</t>
  </si>
  <si>
    <t>Auxiliary task</t>
  </si>
  <si>
    <t>Satellite orbit definition</t>
  </si>
  <si>
    <t>ChipSat solar cell consultation</t>
  </si>
  <si>
    <t>Meeting</t>
  </si>
  <si>
    <t>Preliminary available power definition</t>
  </si>
  <si>
    <t>ChipSat software and basic components definition</t>
  </si>
  <si>
    <t>PCB high level design</t>
  </si>
  <si>
    <t>Radio freqency licensing</t>
  </si>
  <si>
    <t>30.09.2022</t>
  </si>
  <si>
    <t>Qualification tests definition</t>
  </si>
  <si>
    <t>Qualification tests booking</t>
  </si>
  <si>
    <t>E-mail</t>
  </si>
  <si>
    <t>PCB CAD model</t>
  </si>
  <si>
    <t>i.e. PCB layout</t>
  </si>
  <si>
    <t>Mass budget</t>
  </si>
  <si>
    <t>Power budget</t>
  </si>
  <si>
    <t>RF documentation</t>
  </si>
  <si>
    <t>Call sign determination</t>
  </si>
  <si>
    <t>Radio frequency definition</t>
  </si>
  <si>
    <t>Preliminary link budget</t>
  </si>
  <si>
    <t>Maximum antenna length definition</t>
  </si>
  <si>
    <t>Ground station parameters determination</t>
  </si>
  <si>
    <t>30.06.2022</t>
  </si>
  <si>
    <t>Link bugdet</t>
  </si>
  <si>
    <t>Com. System design</t>
  </si>
  <si>
    <t>Data compression</t>
  </si>
  <si>
    <t>Never done</t>
  </si>
  <si>
    <t>Wake up on light</t>
  </si>
  <si>
    <t>Permanent storage of 211 data</t>
  </si>
  <si>
    <t>First steps in coms</t>
  </si>
  <si>
    <t>Measuring internal temperature</t>
  </si>
  <si>
    <t>Second steps in coms</t>
  </si>
  <si>
    <t>Packetising inter-chipsat data</t>
  </si>
  <si>
    <t>Create low power scenarios</t>
  </si>
  <si>
    <t>Measuring available battery</t>
  </si>
  <si>
    <t>Create ambient sensor driver</t>
  </si>
  <si>
    <t>Git commit date. Issue date is 14.03.2023</t>
  </si>
  <si>
    <t>Create gyroscope driver</t>
  </si>
  <si>
    <t>Software test - sensors</t>
  </si>
  <si>
    <t>Intersatellite link optimisation</t>
  </si>
  <si>
    <t>Rewrite 211 in Rust</t>
  </si>
  <si>
    <t>Interface with LuxSpace</t>
  </si>
  <si>
    <t>Breadboard - Mission demonstration</t>
  </si>
  <si>
    <t xml:space="preserve">Breadboard - Sensors installation </t>
  </si>
  <si>
    <t>Experiments with battery</t>
  </si>
  <si>
    <t>Experiments with power</t>
  </si>
  <si>
    <t>Eperiments with communications</t>
  </si>
  <si>
    <t>Satellite PCB design (v2)</t>
  </si>
  <si>
    <t>Satellite manufacturing of first proto-flight model</t>
  </si>
  <si>
    <t>Satellite manufacturing (if iterations are needed)</t>
  </si>
  <si>
    <t>Integration with ground station</t>
  </si>
  <si>
    <t>30.11.2022</t>
  </si>
  <si>
    <t>Preliminary vibration test</t>
  </si>
  <si>
    <t>Vibration Test</t>
  </si>
  <si>
    <t>TVAC Test</t>
  </si>
  <si>
    <t>Delivery</t>
  </si>
  <si>
    <t>Add diodes to solar panels</t>
  </si>
  <si>
    <t>Fix inhibit polarity</t>
  </si>
  <si>
    <t>Replace supercap with tantalum capacitor</t>
  </si>
  <si>
    <t>Verify RF matching circuit</t>
  </si>
  <si>
    <t>Check status of photodiodes</t>
  </si>
  <si>
    <t>Install photodiode DC filter</t>
  </si>
  <si>
    <t>Add more test pads</t>
  </si>
  <si>
    <t>Create breakoutboard with better FFC connector</t>
  </si>
  <si>
    <t>PMIC enable solder joint</t>
  </si>
  <si>
    <t>Add labels to solder jumpers</t>
  </si>
  <si>
    <t>Take components away from edges</t>
  </si>
  <si>
    <t>Check inhibit power requirements</t>
  </si>
  <si>
    <t>CF #</t>
  </si>
  <si>
    <t>Name</t>
  </si>
  <si>
    <t>Applied</t>
  </si>
  <si>
    <t>Cost</t>
  </si>
  <si>
    <t>Time</t>
  </si>
  <si>
    <t>Risk</t>
  </si>
  <si>
    <t>Baseline</t>
  </si>
  <si>
    <t>Base</t>
  </si>
  <si>
    <t>Bypassing structural/thermal analysis</t>
  </si>
  <si>
    <t>Y</t>
  </si>
  <si>
    <t>Higher</t>
  </si>
  <si>
    <t>Soldering PCBs in-house</t>
  </si>
  <si>
    <t>N</t>
  </si>
  <si>
    <t>Lower</t>
  </si>
  <si>
    <t>Multi-step development</t>
  </si>
  <si>
    <t>Short iterations</t>
  </si>
  <si>
    <t>Iterating over partitions</t>
  </si>
  <si>
    <t>Robust software framework</t>
  </si>
  <si>
    <t>Robotic Process Automation</t>
  </si>
  <si>
    <t>Project</t>
  </si>
  <si>
    <t>Analysis Type</t>
  </si>
  <si>
    <t>Number of Treatments</t>
  </si>
  <si>
    <t>Development Time (hours)</t>
  </si>
  <si>
    <t>Cost (€)</t>
  </si>
  <si>
    <t>Risk (categorical)</t>
  </si>
  <si>
    <t>ChipSat-1</t>
  </si>
  <si>
    <t>Actual</t>
  </si>
  <si>
    <t>Counterfactual (SCS methodology used)</t>
  </si>
  <si>
    <t>Counterfactual (SCS methodology not used)</t>
  </si>
  <si>
    <t>AI4Space</t>
  </si>
  <si>
    <t>POQUITO</t>
  </si>
  <si>
    <t>ChiPySat</t>
  </si>
  <si>
    <t>#</t>
  </si>
  <si>
    <t>Title</t>
  </si>
  <si>
    <t>Iterations</t>
  </si>
  <si>
    <t>Type</t>
  </si>
  <si>
    <t>Introduction Date</t>
  </si>
  <si>
    <t>Detection Date</t>
  </si>
  <si>
    <t>Resolution Date</t>
  </si>
  <si>
    <t>Introduction Revision</t>
  </si>
  <si>
    <t>Resolution Revision</t>
  </si>
  <si>
    <t>Glue remaining</t>
  </si>
  <si>
    <t>FM</t>
  </si>
  <si>
    <t>Minor</t>
  </si>
  <si>
    <t>Never</t>
  </si>
  <si>
    <t>COMMS inadequate E2E test</t>
  </si>
  <si>
    <t>Deployable antenna not manufacturable</t>
  </si>
  <si>
    <t>v0.1</t>
  </si>
  <si>
    <t>Major</t>
  </si>
  <si>
    <t>Solar panels problematic soldering</t>
  </si>
  <si>
    <t>v1.0</t>
  </si>
  <si>
    <t>VCC incorrect</t>
  </si>
  <si>
    <t>v1.1, fixed in FM</t>
  </si>
  <si>
    <t>LED incorrect soldering</t>
  </si>
  <si>
    <t>v0.1, v1.1, fixed in FM</t>
  </si>
  <si>
    <t>Inhibit wired in reverse</t>
  </si>
  <si>
    <t>Solar panels wrong footprint</t>
  </si>
  <si>
    <t>OV resistor calculator error in EPS</t>
  </si>
  <si>
    <t>Missing cable infrastructure for DBG</t>
  </si>
  <si>
    <t>Photodiode lower sensitivity than exp</t>
  </si>
  <si>
    <t>PCB label</t>
  </si>
  <si>
    <t>Electrolytic Capacitor</t>
  </si>
  <si>
    <t>Inconvenient connector</t>
  </si>
  <si>
    <t>Incorrect diode footprint</t>
  </si>
  <si>
    <t>Inhibit wire very difficult to solder</t>
  </si>
  <si>
    <t>Antenna size/design is not optimal</t>
  </si>
  <si>
    <t>PCB is ON by default</t>
  </si>
  <si>
    <t>In-house designed bracket issues</t>
  </si>
  <si>
    <t>Forgot to bring adapters</t>
  </si>
  <si>
    <t>Fixed in FM</t>
  </si>
  <si>
    <t>x</t>
  </si>
  <si>
    <t>Adapters contained non-threaded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</si>
</sst>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4</xdr:row>
      <xdr:rowOff>19050</xdr:rowOff>
    </xdr:from>
    <xdr:to>
      <xdr:col>18</xdr:col>
      <xdr:colOff>295275</xdr:colOff>
      <xdr:row>14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681F40-0C03-F07C-AAA4-29A0AA7C1E07}"/>
            </a:ext>
          </a:extLst>
        </xdr:cNvPr>
        <xdr:cNvSpPr txBox="1"/>
      </xdr:nvSpPr>
      <xdr:spPr>
        <a:xfrm>
          <a:off x="13182600" y="971550"/>
          <a:ext cx="3876675" cy="1914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Iteration #1: Breadboard</a:t>
          </a:r>
        </a:p>
        <a:p>
          <a:r>
            <a:rPr lang="en-GB" sz="1100"/>
            <a:t>Iteration #2: Engineering Model</a:t>
          </a:r>
        </a:p>
        <a:p>
          <a:r>
            <a:rPr lang="en-GB" sz="1100"/>
            <a:t>Iteration #3: Breadboard</a:t>
          </a:r>
        </a:p>
        <a:p>
          <a:r>
            <a:rPr lang="en-GB" sz="1100"/>
            <a:t>Iteration #4: Eng. Qual Model</a:t>
          </a:r>
        </a:p>
        <a:p>
          <a:r>
            <a:rPr lang="en-GB" sz="1100"/>
            <a:t>Iteration #5:</a:t>
          </a:r>
          <a:r>
            <a:rPr lang="en-GB" sz="1100" baseline="0"/>
            <a:t> Proto-Flight Model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949-554B-4037-A651-EE69D55C2294}">
  <dimension ref="A1:A5"/>
  <sheetViews>
    <sheetView workbookViewId="0">
      <selection activeCell="A6" sqref="A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activeCell="B7" sqref="B7"/>
    </sheetView>
  </sheetViews>
  <sheetFormatPr defaultRowHeight="15"/>
  <cols>
    <col min="1" max="1" width="46" bestFit="1" customWidth="1"/>
    <col min="2" max="2" width="46" customWidth="1"/>
    <col min="3" max="3" width="17.28515625" bestFit="1" customWidth="1"/>
    <col min="4" max="4" width="10.85546875" bestFit="1" customWidth="1"/>
    <col min="5" max="5" width="12.7109375" bestFit="1" customWidth="1"/>
  </cols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4</v>
      </c>
      <c r="E2" t="s">
        <v>11</v>
      </c>
    </row>
    <row r="3" spans="1:5">
      <c r="A3" t="s">
        <v>12</v>
      </c>
      <c r="B3" t="s">
        <v>4</v>
      </c>
      <c r="E3" t="s">
        <v>11</v>
      </c>
    </row>
    <row r="4" spans="1:5">
      <c r="A4" t="s">
        <v>13</v>
      </c>
      <c r="B4" t="s">
        <v>0</v>
      </c>
      <c r="C4" s="2">
        <v>44593</v>
      </c>
      <c r="D4" s="2">
        <v>44606</v>
      </c>
    </row>
    <row r="5" spans="1:5">
      <c r="A5" t="s">
        <v>14</v>
      </c>
      <c r="B5" t="s">
        <v>4</v>
      </c>
      <c r="E5" t="s">
        <v>15</v>
      </c>
    </row>
    <row r="6" spans="1:5">
      <c r="A6" t="s">
        <v>16</v>
      </c>
      <c r="B6" t="s">
        <v>0</v>
      </c>
      <c r="D6" s="2">
        <v>44627</v>
      </c>
    </row>
    <row r="7" spans="1:5">
      <c r="A7" t="s">
        <v>17</v>
      </c>
      <c r="B7" t="s">
        <v>4</v>
      </c>
      <c r="E7" t="s">
        <v>18</v>
      </c>
    </row>
    <row r="8" spans="1:5">
      <c r="A8" t="s">
        <v>19</v>
      </c>
      <c r="B8" t="s">
        <v>1</v>
      </c>
      <c r="D8" s="2">
        <v>44620</v>
      </c>
    </row>
    <row r="9" spans="1:5">
      <c r="A9" t="s">
        <v>20</v>
      </c>
      <c r="B9" t="s">
        <v>1</v>
      </c>
      <c r="D9" s="2">
        <v>44627</v>
      </c>
    </row>
    <row r="10" spans="1:5">
      <c r="A10" t="s">
        <v>21</v>
      </c>
      <c r="B10" t="s">
        <v>0</v>
      </c>
      <c r="D10" s="2">
        <v>44627</v>
      </c>
    </row>
    <row r="11" spans="1:5">
      <c r="A11" t="s">
        <v>22</v>
      </c>
      <c r="B11" t="s">
        <v>0</v>
      </c>
      <c r="D11" t="s">
        <v>23</v>
      </c>
    </row>
    <row r="12" spans="1:5">
      <c r="A12" t="s">
        <v>24</v>
      </c>
      <c r="B12" t="s">
        <v>0</v>
      </c>
      <c r="D12" s="2">
        <v>44627</v>
      </c>
    </row>
    <row r="13" spans="1:5">
      <c r="A13" t="s">
        <v>25</v>
      </c>
      <c r="B13" t="s">
        <v>4</v>
      </c>
      <c r="E13" t="s">
        <v>26</v>
      </c>
    </row>
    <row r="14" spans="1:5">
      <c r="A14" t="s">
        <v>27</v>
      </c>
      <c r="B14" t="s">
        <v>0</v>
      </c>
      <c r="D14" s="2">
        <v>44634</v>
      </c>
      <c r="E14" t="s">
        <v>28</v>
      </c>
    </row>
    <row r="15" spans="1:5">
      <c r="A15" t="s">
        <v>29</v>
      </c>
      <c r="B15" t="s">
        <v>0</v>
      </c>
      <c r="D15" s="2">
        <v>44634</v>
      </c>
    </row>
    <row r="16" spans="1:5">
      <c r="A16" t="s">
        <v>30</v>
      </c>
      <c r="B16" t="s">
        <v>0</v>
      </c>
      <c r="D16" s="2">
        <v>44773</v>
      </c>
    </row>
    <row r="17" spans="1:5">
      <c r="A17" t="s">
        <v>31</v>
      </c>
      <c r="B17" t="s">
        <v>4</v>
      </c>
    </row>
    <row r="18" spans="1:5">
      <c r="A18" t="s">
        <v>32</v>
      </c>
      <c r="B18" t="s">
        <v>4</v>
      </c>
    </row>
    <row r="19" spans="1:5">
      <c r="A19" t="s">
        <v>33</v>
      </c>
      <c r="B19" t="s">
        <v>4</v>
      </c>
    </row>
    <row r="20" spans="1:5">
      <c r="A20" t="s">
        <v>34</v>
      </c>
      <c r="B20" t="s">
        <v>0</v>
      </c>
      <c r="D20" s="2">
        <v>44620</v>
      </c>
    </row>
    <row r="21" spans="1:5">
      <c r="A21" t="s">
        <v>35</v>
      </c>
      <c r="B21" t="s">
        <v>0</v>
      </c>
      <c r="D21" s="2">
        <v>44702</v>
      </c>
    </row>
    <row r="22" spans="1:5">
      <c r="A22" t="s">
        <v>36</v>
      </c>
      <c r="B22" t="s">
        <v>0</v>
      </c>
      <c r="D22" t="s">
        <v>37</v>
      </c>
    </row>
    <row r="23" spans="1:5">
      <c r="A23" t="s">
        <v>38</v>
      </c>
      <c r="B23" t="s">
        <v>0</v>
      </c>
      <c r="D23" s="2">
        <v>44773</v>
      </c>
    </row>
    <row r="24" spans="1:5">
      <c r="A24" t="s">
        <v>39</v>
      </c>
      <c r="B24" t="s">
        <v>0</v>
      </c>
      <c r="D24" s="2">
        <v>44773</v>
      </c>
    </row>
    <row r="25" spans="1:5">
      <c r="A25" t="s">
        <v>40</v>
      </c>
      <c r="B25" t="s">
        <v>2</v>
      </c>
      <c r="E25" t="s">
        <v>41</v>
      </c>
    </row>
    <row r="26" spans="1:5">
      <c r="A26" t="s">
        <v>42</v>
      </c>
      <c r="B26" t="s">
        <v>1</v>
      </c>
      <c r="E26" t="s">
        <v>41</v>
      </c>
    </row>
    <row r="27" spans="1:5">
      <c r="A27" t="s">
        <v>43</v>
      </c>
      <c r="B27" t="s">
        <v>1</v>
      </c>
      <c r="E27" t="s">
        <v>41</v>
      </c>
    </row>
    <row r="28" spans="1:5">
      <c r="A28" t="s">
        <v>44</v>
      </c>
      <c r="B28" t="s">
        <v>0</v>
      </c>
      <c r="D28" s="2">
        <v>44693</v>
      </c>
    </row>
    <row r="29" spans="1:5">
      <c r="A29" t="s">
        <v>45</v>
      </c>
      <c r="B29" t="s">
        <v>1</v>
      </c>
      <c r="D29" s="2">
        <v>44965</v>
      </c>
    </row>
    <row r="30" spans="1:5">
      <c r="A30" t="s">
        <v>46</v>
      </c>
      <c r="B30" t="s">
        <v>0</v>
      </c>
      <c r="D30" s="2">
        <v>45015</v>
      </c>
    </row>
    <row r="31" spans="1:5">
      <c r="A31" t="s">
        <v>47</v>
      </c>
      <c r="B31" t="s">
        <v>0</v>
      </c>
      <c r="D31" s="2">
        <v>45001</v>
      </c>
    </row>
    <row r="32" spans="1:5">
      <c r="A32" t="s">
        <v>48</v>
      </c>
      <c r="B32" t="s">
        <v>1</v>
      </c>
      <c r="E32" t="s">
        <v>41</v>
      </c>
    </row>
    <row r="33" spans="1:5">
      <c r="A33" t="s">
        <v>49</v>
      </c>
      <c r="B33" t="s">
        <v>2</v>
      </c>
      <c r="E33" t="s">
        <v>41</v>
      </c>
    </row>
    <row r="34" spans="1:5">
      <c r="A34" t="s">
        <v>50</v>
      </c>
      <c r="B34" t="s">
        <v>1</v>
      </c>
      <c r="D34" s="2">
        <v>44964</v>
      </c>
      <c r="E34" t="s">
        <v>51</v>
      </c>
    </row>
    <row r="35" spans="1:5">
      <c r="A35" t="s">
        <v>52</v>
      </c>
      <c r="B35" t="s">
        <v>2</v>
      </c>
      <c r="D35" s="2">
        <v>44995</v>
      </c>
    </row>
    <row r="36" spans="1:5">
      <c r="A36" t="s">
        <v>53</v>
      </c>
      <c r="B36" t="s">
        <v>4</v>
      </c>
    </row>
    <row r="37" spans="1:5">
      <c r="A37" t="s">
        <v>54</v>
      </c>
      <c r="B37" t="s">
        <v>2</v>
      </c>
      <c r="E37" t="s">
        <v>41</v>
      </c>
    </row>
    <row r="38" spans="1:5">
      <c r="A38" t="s">
        <v>55</v>
      </c>
      <c r="B38" t="s">
        <v>3</v>
      </c>
      <c r="E38" t="s">
        <v>41</v>
      </c>
    </row>
    <row r="39" spans="1:5">
      <c r="A39" t="s">
        <v>56</v>
      </c>
      <c r="B39" t="s">
        <v>0</v>
      </c>
    </row>
    <row r="40" spans="1:5">
      <c r="A40" t="s">
        <v>57</v>
      </c>
      <c r="B40" t="s">
        <v>0</v>
      </c>
      <c r="D40" t="s">
        <v>37</v>
      </c>
    </row>
    <row r="41" spans="1:5">
      <c r="A41" t="s">
        <v>58</v>
      </c>
      <c r="B41" t="s">
        <v>0</v>
      </c>
      <c r="D41" t="s">
        <v>37</v>
      </c>
    </row>
    <row r="42" spans="1:5">
      <c r="A42" t="s">
        <v>59</v>
      </c>
      <c r="B42" t="s">
        <v>1</v>
      </c>
      <c r="D42" s="2">
        <v>44804</v>
      </c>
    </row>
    <row r="43" spans="1:5">
      <c r="A43" t="s">
        <v>60</v>
      </c>
      <c r="B43" t="s">
        <v>1</v>
      </c>
      <c r="D43" t="s">
        <v>37</v>
      </c>
    </row>
    <row r="44" spans="1:5">
      <c r="A44" t="s">
        <v>61</v>
      </c>
      <c r="B44" t="s">
        <v>4</v>
      </c>
      <c r="D44" s="2"/>
    </row>
    <row r="45" spans="1:5">
      <c r="A45" t="s">
        <v>62</v>
      </c>
      <c r="B45" t="s">
        <v>0</v>
      </c>
      <c r="D45" s="2">
        <v>44804</v>
      </c>
    </row>
    <row r="46" spans="1:5">
      <c r="A46" t="s">
        <v>63</v>
      </c>
      <c r="B46" t="s">
        <v>0</v>
      </c>
      <c r="D46" s="2">
        <v>44848</v>
      </c>
    </row>
    <row r="47" spans="1:5">
      <c r="A47" t="s">
        <v>64</v>
      </c>
      <c r="B47" t="s">
        <v>0</v>
      </c>
      <c r="D47" s="2">
        <v>44909</v>
      </c>
    </row>
    <row r="48" spans="1:5">
      <c r="A48" t="s">
        <v>65</v>
      </c>
      <c r="B48" t="s">
        <v>0</v>
      </c>
      <c r="D48" s="2" t="s">
        <v>66</v>
      </c>
    </row>
    <row r="49" spans="1:5">
      <c r="A49" t="s">
        <v>67</v>
      </c>
      <c r="B49" t="s">
        <v>4</v>
      </c>
    </row>
    <row r="50" spans="1:5">
      <c r="A50" t="s">
        <v>68</v>
      </c>
      <c r="B50" t="s">
        <v>4</v>
      </c>
    </row>
    <row r="51" spans="1:5">
      <c r="A51" t="s">
        <v>69</v>
      </c>
      <c r="B51" t="s">
        <v>4</v>
      </c>
    </row>
    <row r="52" spans="1:5">
      <c r="A52" t="s">
        <v>70</v>
      </c>
      <c r="B52" t="s">
        <v>4</v>
      </c>
    </row>
    <row r="53" spans="1:5">
      <c r="A53" t="s">
        <v>71</v>
      </c>
      <c r="B53" t="s">
        <v>0</v>
      </c>
      <c r="C53" s="2">
        <v>44762</v>
      </c>
      <c r="D53" s="2">
        <v>44970</v>
      </c>
    </row>
    <row r="54" spans="1:5">
      <c r="A54" t="s">
        <v>72</v>
      </c>
      <c r="B54" t="s">
        <v>0</v>
      </c>
      <c r="C54" s="2">
        <v>44970</v>
      </c>
      <c r="D54" s="2">
        <v>44973</v>
      </c>
    </row>
    <row r="55" spans="1:5">
      <c r="A55" t="s">
        <v>73</v>
      </c>
      <c r="B55" t="s">
        <v>0</v>
      </c>
      <c r="C55" s="2">
        <v>44970</v>
      </c>
      <c r="D55" s="2">
        <v>44970</v>
      </c>
    </row>
    <row r="56" spans="1:5">
      <c r="A56" t="s">
        <v>74</v>
      </c>
      <c r="B56" t="s">
        <v>4</v>
      </c>
    </row>
    <row r="57" spans="1:5">
      <c r="A57" t="s">
        <v>75</v>
      </c>
      <c r="B57" t="s">
        <v>0</v>
      </c>
      <c r="C57" s="2">
        <v>44970</v>
      </c>
      <c r="D57" s="2">
        <v>44973</v>
      </c>
    </row>
    <row r="58" spans="1:5">
      <c r="A58" t="s">
        <v>76</v>
      </c>
      <c r="B58" t="s">
        <v>3</v>
      </c>
      <c r="E58" t="s">
        <v>41</v>
      </c>
    </row>
    <row r="59" spans="1:5">
      <c r="A59" t="s">
        <v>77</v>
      </c>
      <c r="B59" t="s">
        <v>1</v>
      </c>
      <c r="C59" s="2">
        <v>44970</v>
      </c>
      <c r="D59" s="2">
        <v>44974</v>
      </c>
    </row>
    <row r="60" spans="1:5">
      <c r="A60" t="s">
        <v>78</v>
      </c>
      <c r="B60" t="s">
        <v>0</v>
      </c>
      <c r="C60" s="2">
        <v>44970</v>
      </c>
      <c r="D60" s="2">
        <v>45020</v>
      </c>
    </row>
    <row r="61" spans="1:5">
      <c r="A61" t="s">
        <v>79</v>
      </c>
      <c r="B61" t="s">
        <v>0</v>
      </c>
      <c r="C61" s="2">
        <v>44970</v>
      </c>
      <c r="D61" s="2">
        <v>44973</v>
      </c>
    </row>
    <row r="62" spans="1:5">
      <c r="A62" t="s">
        <v>80</v>
      </c>
      <c r="B62" t="s">
        <v>1</v>
      </c>
      <c r="C62" s="2">
        <v>44970</v>
      </c>
      <c r="D62" s="2">
        <v>44974</v>
      </c>
    </row>
    <row r="63" spans="1:5">
      <c r="A63" t="s">
        <v>81</v>
      </c>
      <c r="B63" t="s">
        <v>1</v>
      </c>
      <c r="C63" s="2">
        <v>44970</v>
      </c>
      <c r="D63" s="2">
        <v>44973</v>
      </c>
    </row>
    <row r="64" spans="1:5">
      <c r="A64" t="s">
        <v>82</v>
      </c>
      <c r="B64" t="s">
        <v>4</v>
      </c>
      <c r="C64" s="2">
        <v>44970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04AC06-AB75-43F5-BB11-B7C351378E1B}">
          <x14:formula1>
            <xm:f>AUX!$A:$A</xm:f>
          </x14:formula1>
          <xm:sqref>B2:B52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8C10-59A7-4ADB-BAAA-95138B784E3A}">
  <dimension ref="A1:F8"/>
  <sheetViews>
    <sheetView workbookViewId="0">
      <selection activeCell="C8" sqref="C8"/>
    </sheetView>
  </sheetViews>
  <sheetFormatPr defaultRowHeight="15"/>
  <cols>
    <col min="1" max="1" width="4.28515625" customWidth="1"/>
    <col min="2" max="2" width="36.7109375" bestFit="1" customWidth="1"/>
    <col min="3" max="3" width="8" bestFit="1" customWidth="1"/>
  </cols>
  <sheetData>
    <row r="1" spans="1: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>
        <v>0</v>
      </c>
      <c r="B2" t="s">
        <v>89</v>
      </c>
      <c r="D2">
        <v>8930</v>
      </c>
      <c r="E2">
        <v>478</v>
      </c>
      <c r="F2" t="s">
        <v>90</v>
      </c>
    </row>
    <row r="3" spans="1:6">
      <c r="A3">
        <v>1</v>
      </c>
      <c r="B3" t="s">
        <v>91</v>
      </c>
      <c r="C3" t="s">
        <v>92</v>
      </c>
      <c r="D3">
        <v>1390</v>
      </c>
      <c r="E3">
        <v>-180</v>
      </c>
      <c r="F3" t="s">
        <v>93</v>
      </c>
    </row>
    <row r="4" spans="1:6">
      <c r="A4">
        <v>2</v>
      </c>
      <c r="B4" t="s">
        <v>94</v>
      </c>
      <c r="C4" t="s">
        <v>95</v>
      </c>
      <c r="D4">
        <v>-2000</v>
      </c>
      <c r="E4">
        <v>72</v>
      </c>
      <c r="F4" t="s">
        <v>96</v>
      </c>
    </row>
    <row r="5" spans="1:6">
      <c r="A5">
        <v>3</v>
      </c>
      <c r="B5" t="s">
        <v>97</v>
      </c>
      <c r="C5" t="s">
        <v>92</v>
      </c>
      <c r="D5">
        <v>1720</v>
      </c>
      <c r="E5">
        <v>-120</v>
      </c>
      <c r="F5" t="s">
        <v>96</v>
      </c>
    </row>
    <row r="6" spans="1:6">
      <c r="A6">
        <v>4</v>
      </c>
      <c r="B6" t="s">
        <v>98</v>
      </c>
      <c r="C6" t="s">
        <v>92</v>
      </c>
      <c r="D6">
        <v>695</v>
      </c>
      <c r="E6">
        <v>-120</v>
      </c>
      <c r="F6" t="s">
        <v>93</v>
      </c>
    </row>
    <row r="7" spans="1:6">
      <c r="A7">
        <v>5</v>
      </c>
      <c r="B7" t="s">
        <v>99</v>
      </c>
      <c r="C7" t="s">
        <v>92</v>
      </c>
      <c r="D7">
        <v>-1840</v>
      </c>
      <c r="E7">
        <v>-50</v>
      </c>
      <c r="F7" t="s">
        <v>93</v>
      </c>
    </row>
    <row r="8" spans="1:6">
      <c r="A8">
        <v>6</v>
      </c>
      <c r="B8" t="s">
        <v>100</v>
      </c>
      <c r="C8" t="s">
        <v>95</v>
      </c>
      <c r="D8">
        <v>0</v>
      </c>
      <c r="E8">
        <v>40</v>
      </c>
      <c r="F8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7DAB-BD83-4482-906E-90A3A5089EEB}">
  <dimension ref="A1:F8"/>
  <sheetViews>
    <sheetView workbookViewId="0">
      <selection activeCell="A7" sqref="A7:F7"/>
    </sheetView>
  </sheetViews>
  <sheetFormatPr defaultRowHeight="15"/>
  <cols>
    <col min="1" max="1" width="4.28515625" customWidth="1"/>
    <col min="2" max="2" width="36.7109375" bestFit="1" customWidth="1"/>
    <col min="3" max="3" width="8" bestFit="1" customWidth="1"/>
  </cols>
  <sheetData>
    <row r="1" spans="1:6">
      <c r="A1" s="1" t="s">
        <v>83</v>
      </c>
      <c r="B1" s="1" t="s">
        <v>84</v>
      </c>
      <c r="C1" s="4" t="s">
        <v>85</v>
      </c>
      <c r="D1" s="1" t="s">
        <v>86</v>
      </c>
      <c r="E1" s="1" t="s">
        <v>87</v>
      </c>
      <c r="F1" s="1" t="s">
        <v>88</v>
      </c>
    </row>
    <row r="2" spans="1:6">
      <c r="A2">
        <v>0</v>
      </c>
      <c r="B2" t="s">
        <v>89</v>
      </c>
      <c r="D2">
        <f>1300+2600+1000</f>
        <v>4900</v>
      </c>
      <c r="E2">
        <v>468</v>
      </c>
      <c r="F2" t="s">
        <v>90</v>
      </c>
    </row>
    <row r="3" spans="1:6">
      <c r="A3">
        <v>1</v>
      </c>
      <c r="B3" t="s">
        <v>91</v>
      </c>
      <c r="C3" t="s">
        <v>92</v>
      </c>
      <c r="D3">
        <v>0</v>
      </c>
      <c r="E3">
        <v>-180</v>
      </c>
      <c r="F3" t="s">
        <v>93</v>
      </c>
    </row>
    <row r="4" spans="1:6">
      <c r="A4">
        <v>2</v>
      </c>
      <c r="B4" t="s">
        <v>94</v>
      </c>
      <c r="C4" t="s">
        <v>95</v>
      </c>
      <c r="D4">
        <v>-1300</v>
      </c>
      <c r="E4">
        <v>24</v>
      </c>
      <c r="F4" t="s">
        <v>90</v>
      </c>
    </row>
    <row r="5" spans="1:6">
      <c r="A5">
        <v>3</v>
      </c>
      <c r="B5" t="s">
        <v>97</v>
      </c>
      <c r="C5" t="s">
        <v>92</v>
      </c>
      <c r="D5">
        <v>1300</v>
      </c>
      <c r="E5">
        <v>-265</v>
      </c>
      <c r="F5" t="s">
        <v>90</v>
      </c>
    </row>
    <row r="6" spans="1:6">
      <c r="A6">
        <v>5</v>
      </c>
      <c r="B6" t="s">
        <v>99</v>
      </c>
      <c r="C6" t="s">
        <v>92</v>
      </c>
      <c r="D6">
        <v>0</v>
      </c>
      <c r="E6">
        <v>27</v>
      </c>
      <c r="F6" t="s">
        <v>90</v>
      </c>
    </row>
    <row r="7" spans="1:6">
      <c r="A7">
        <v>6</v>
      </c>
      <c r="B7" t="s">
        <v>100</v>
      </c>
      <c r="C7" t="s">
        <v>92</v>
      </c>
      <c r="D7">
        <v>0</v>
      </c>
      <c r="E7">
        <v>0</v>
      </c>
      <c r="F7" t="s">
        <v>96</v>
      </c>
    </row>
    <row r="8" spans="1:6">
      <c r="A8">
        <v>7</v>
      </c>
      <c r="B8" t="s">
        <v>101</v>
      </c>
      <c r="C8" t="s">
        <v>92</v>
      </c>
      <c r="D8">
        <v>0</v>
      </c>
      <c r="E8">
        <v>0</v>
      </c>
      <c r="F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F6EB-9C5A-4FB4-A210-28A6E7CA2178}">
  <dimension ref="A1:F8"/>
  <sheetViews>
    <sheetView workbookViewId="0">
      <selection activeCell="G7" sqref="G4:G7"/>
    </sheetView>
  </sheetViews>
  <sheetFormatPr defaultRowHeight="15"/>
  <cols>
    <col min="1" max="1" width="4.28515625" customWidth="1"/>
    <col min="2" max="2" width="36.7109375" bestFit="1" customWidth="1"/>
    <col min="3" max="3" width="8" bestFit="1" customWidth="1"/>
  </cols>
  <sheetData>
    <row r="1" spans="1:6">
      <c r="A1" s="1" t="s">
        <v>83</v>
      </c>
      <c r="B1" s="1" t="s">
        <v>84</v>
      </c>
      <c r="C1" s="4" t="s">
        <v>85</v>
      </c>
      <c r="D1" s="1" t="s">
        <v>86</v>
      </c>
      <c r="E1" s="1" t="s">
        <v>87</v>
      </c>
      <c r="F1" s="1" t="s">
        <v>88</v>
      </c>
    </row>
    <row r="2" spans="1:6">
      <c r="A2">
        <v>0</v>
      </c>
      <c r="B2" t="s">
        <v>89</v>
      </c>
      <c r="D2">
        <v>26750</v>
      </c>
      <c r="E2">
        <v>759</v>
      </c>
      <c r="F2" t="s">
        <v>90</v>
      </c>
    </row>
    <row r="3" spans="1:6">
      <c r="A3">
        <v>1</v>
      </c>
      <c r="B3" t="s">
        <v>91</v>
      </c>
      <c r="C3" t="s">
        <v>92</v>
      </c>
      <c r="D3">
        <v>0</v>
      </c>
      <c r="E3">
        <v>-180</v>
      </c>
      <c r="F3" t="s">
        <v>93</v>
      </c>
    </row>
    <row r="4" spans="1:6">
      <c r="A4">
        <v>2</v>
      </c>
      <c r="B4" t="s">
        <v>94</v>
      </c>
      <c r="C4" t="s">
        <v>95</v>
      </c>
      <c r="D4">
        <f>-220-1700-2100</f>
        <v>-4020</v>
      </c>
      <c r="E4">
        <f>5*(8*2)</f>
        <v>80</v>
      </c>
      <c r="F4" t="s">
        <v>96</v>
      </c>
    </row>
    <row r="5" spans="1:6">
      <c r="A5">
        <v>3</v>
      </c>
      <c r="B5" t="s">
        <v>97</v>
      </c>
      <c r="C5" t="s">
        <v>92</v>
      </c>
      <c r="D5">
        <f>220+2800/2+900/2+10000/2</f>
        <v>7070</v>
      </c>
      <c r="E5">
        <f>-(40*8-108/3*2)</f>
        <v>-248</v>
      </c>
      <c r="F5" t="s">
        <v>93</v>
      </c>
    </row>
    <row r="6" spans="1:6">
      <c r="A6">
        <v>4</v>
      </c>
      <c r="B6" t="s">
        <v>98</v>
      </c>
      <c r="C6" t="s">
        <v>95</v>
      </c>
      <c r="D6">
        <f>7070-4020</f>
        <v>3050</v>
      </c>
      <c r="E6">
        <f>108/3*2-8</f>
        <v>64</v>
      </c>
      <c r="F6" t="s">
        <v>96</v>
      </c>
    </row>
    <row r="7" spans="1:6">
      <c r="A7">
        <v>5</v>
      </c>
      <c r="B7" t="s">
        <v>99</v>
      </c>
      <c r="C7" t="s">
        <v>92</v>
      </c>
      <c r="D7">
        <f>-1700</f>
        <v>-1700</v>
      </c>
      <c r="E7">
        <f>-52/4-52/4</f>
        <v>-26</v>
      </c>
      <c r="F7" t="s">
        <v>90</v>
      </c>
    </row>
    <row r="8" spans="1:6">
      <c r="A8">
        <v>7</v>
      </c>
      <c r="B8" t="s">
        <v>101</v>
      </c>
      <c r="C8" t="s">
        <v>95</v>
      </c>
      <c r="D8">
        <v>0</v>
      </c>
      <c r="E8">
        <v>0</v>
      </c>
      <c r="F8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3324-05FE-4214-B0C2-1CF93421BF97}">
  <dimension ref="A1:F25"/>
  <sheetViews>
    <sheetView workbookViewId="0">
      <selection activeCell="G11" sqref="G11"/>
    </sheetView>
  </sheetViews>
  <sheetFormatPr defaultRowHeight="15"/>
  <cols>
    <col min="1" max="1" width="4.28515625" customWidth="1"/>
    <col min="2" max="2" width="36.7109375" bestFit="1" customWidth="1"/>
    <col min="3" max="3" width="8" bestFit="1" customWidth="1"/>
    <col min="4" max="4" width="24.5703125" bestFit="1" customWidth="1"/>
  </cols>
  <sheetData>
    <row r="1" spans="1:6">
      <c r="A1" s="1" t="s">
        <v>83</v>
      </c>
      <c r="B1" s="1" t="s">
        <v>84</v>
      </c>
      <c r="C1" s="4" t="s">
        <v>85</v>
      </c>
      <c r="D1" s="1" t="s">
        <v>86</v>
      </c>
      <c r="E1" s="1" t="s">
        <v>87</v>
      </c>
      <c r="F1" s="1" t="s">
        <v>88</v>
      </c>
    </row>
    <row r="2" spans="1:6">
      <c r="A2">
        <v>0</v>
      </c>
      <c r="B2" t="s">
        <v>89</v>
      </c>
      <c r="D2">
        <v>1000</v>
      </c>
      <c r="E2">
        <v>252</v>
      </c>
      <c r="F2" t="s">
        <v>90</v>
      </c>
    </row>
    <row r="3" spans="1:6">
      <c r="A3">
        <v>1</v>
      </c>
      <c r="B3" t="s">
        <v>91</v>
      </c>
      <c r="C3" t="s">
        <v>92</v>
      </c>
      <c r="D3">
        <v>0</v>
      </c>
      <c r="E3">
        <v>-180</v>
      </c>
      <c r="F3" t="s">
        <v>93</v>
      </c>
    </row>
    <row r="4" spans="1:6">
      <c r="A4">
        <v>2</v>
      </c>
      <c r="B4" t="s">
        <v>94</v>
      </c>
      <c r="C4" t="s">
        <v>92</v>
      </c>
      <c r="D4">
        <v>-2000</v>
      </c>
      <c r="E4">
        <f>12*2</f>
        <v>24</v>
      </c>
      <c r="F4" t="s">
        <v>96</v>
      </c>
    </row>
    <row r="5" spans="1:6">
      <c r="A5">
        <v>3</v>
      </c>
      <c r="B5" t="s">
        <v>97</v>
      </c>
      <c r="C5" t="s">
        <v>92</v>
      </c>
      <c r="D5">
        <f>-100/2-600/2</f>
        <v>-350</v>
      </c>
      <c r="E5">
        <f>FLOOR(-40*8/2+(4.5-1.5)*151/4.5,1)</f>
        <v>-60</v>
      </c>
      <c r="F5" t="s">
        <v>93</v>
      </c>
    </row>
    <row r="6" spans="1:6">
      <c r="A6">
        <v>4</v>
      </c>
      <c r="B6" t="s">
        <v>98</v>
      </c>
      <c r="C6" t="s">
        <v>95</v>
      </c>
      <c r="D6">
        <f>100*2+600</f>
        <v>800</v>
      </c>
      <c r="E6">
        <f>-252/4.5*1.5+252/2/4.5*1.5</f>
        <v>-42</v>
      </c>
      <c r="F6" t="s">
        <v>90</v>
      </c>
    </row>
    <row r="7" spans="1:6">
      <c r="A7">
        <v>6</v>
      </c>
      <c r="B7" t="s">
        <v>100</v>
      </c>
      <c r="C7" t="s">
        <v>95</v>
      </c>
      <c r="D7">
        <v>0</v>
      </c>
      <c r="E7">
        <f>-2*20*1</f>
        <v>-40</v>
      </c>
      <c r="F7" t="s">
        <v>96</v>
      </c>
    </row>
    <row r="8" spans="1:6">
      <c r="A8">
        <v>7</v>
      </c>
      <c r="B8" t="s">
        <v>101</v>
      </c>
      <c r="C8" t="s">
        <v>95</v>
      </c>
      <c r="D8">
        <v>0</v>
      </c>
      <c r="E8">
        <v>40</v>
      </c>
      <c r="F8" t="s">
        <v>96</v>
      </c>
    </row>
    <row r="16" spans="1:6">
      <c r="B16" s="1"/>
    </row>
    <row r="20" spans="2:2">
      <c r="B20" s="5"/>
    </row>
    <row r="25" spans="2:2">
      <c r="B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A122-9E43-4147-8FAC-1F49FF4EF337}">
  <dimension ref="A1:G14"/>
  <sheetViews>
    <sheetView tabSelected="1" workbookViewId="0">
      <selection activeCell="B1" sqref="B1:B2"/>
    </sheetView>
  </sheetViews>
  <sheetFormatPr defaultRowHeight="15"/>
  <cols>
    <col min="1" max="1" width="9.42578125" bestFit="1" customWidth="1"/>
    <col min="2" max="2" width="51.7109375" customWidth="1"/>
    <col min="3" max="3" width="20.7109375" customWidth="1"/>
    <col min="4" max="4" width="25.42578125" customWidth="1"/>
    <col min="5" max="5" width="24.85546875" customWidth="1"/>
    <col min="6" max="6" width="24.5703125" customWidth="1"/>
  </cols>
  <sheetData>
    <row r="1" spans="1:7" ht="45" customHeight="1">
      <c r="A1" s="7" t="s">
        <v>102</v>
      </c>
      <c r="B1" s="8" t="s">
        <v>103</v>
      </c>
      <c r="C1" s="8" t="s">
        <v>104</v>
      </c>
      <c r="D1" s="6" t="s">
        <v>105</v>
      </c>
      <c r="E1" s="6" t="s">
        <v>106</v>
      </c>
      <c r="F1" s="6" t="s">
        <v>107</v>
      </c>
      <c r="G1" s="1"/>
    </row>
    <row r="2" spans="1:7">
      <c r="A2" s="7"/>
      <c r="B2" s="8"/>
      <c r="C2" s="8"/>
      <c r="D2" s="6"/>
      <c r="E2" s="6"/>
      <c r="F2" s="6"/>
      <c r="G2" s="1"/>
    </row>
    <row r="3" spans="1:7">
      <c r="A3" s="3" t="s">
        <v>108</v>
      </c>
      <c r="B3" s="3" t="s">
        <v>109</v>
      </c>
      <c r="C3" s="3">
        <v>4</v>
      </c>
      <c r="D3" s="3">
        <v>478</v>
      </c>
      <c r="E3" s="3">
        <v>8930</v>
      </c>
      <c r="F3" s="3">
        <v>0</v>
      </c>
    </row>
    <row r="4" spans="1:7">
      <c r="A4" s="3" t="s">
        <v>108</v>
      </c>
      <c r="B4" s="3" t="s">
        <v>110</v>
      </c>
      <c r="C4" s="3">
        <v>6</v>
      </c>
      <c r="D4" s="3">
        <v>590</v>
      </c>
      <c r="E4" s="3">
        <v>6930</v>
      </c>
      <c r="F4" s="3">
        <v>-2</v>
      </c>
    </row>
    <row r="5" spans="1:7">
      <c r="A5" s="3" t="s">
        <v>108</v>
      </c>
      <c r="B5" s="3" t="s">
        <v>111</v>
      </c>
      <c r="C5" s="3">
        <v>0</v>
      </c>
      <c r="D5" s="3">
        <v>948</v>
      </c>
      <c r="E5" s="3">
        <v>6965</v>
      </c>
      <c r="F5" s="3">
        <v>-2</v>
      </c>
    </row>
    <row r="6" spans="1:7">
      <c r="A6" s="3" t="s">
        <v>112</v>
      </c>
      <c r="B6" s="3" t="s">
        <v>109</v>
      </c>
      <c r="C6" s="3">
        <v>5</v>
      </c>
      <c r="D6" s="3">
        <v>468</v>
      </c>
      <c r="E6" s="3">
        <v>4900</v>
      </c>
      <c r="F6" s="3">
        <v>0</v>
      </c>
    </row>
    <row r="7" spans="1:7">
      <c r="A7" s="3" t="s">
        <v>112</v>
      </c>
      <c r="B7" s="3" t="s">
        <v>110</v>
      </c>
      <c r="C7" s="3">
        <v>6</v>
      </c>
      <c r="D7" s="3">
        <v>492</v>
      </c>
      <c r="E7" s="3">
        <v>3600</v>
      </c>
      <c r="F7" s="3">
        <v>0</v>
      </c>
    </row>
    <row r="8" spans="1:7">
      <c r="A8" s="3" t="s">
        <v>112</v>
      </c>
      <c r="B8" s="3" t="s">
        <v>111</v>
      </c>
      <c r="C8" s="3">
        <v>0</v>
      </c>
      <c r="D8" s="3">
        <v>886</v>
      </c>
      <c r="E8" s="3">
        <v>3600</v>
      </c>
      <c r="F8" s="3">
        <v>1</v>
      </c>
    </row>
    <row r="9" spans="1:7">
      <c r="A9" s="3" t="s">
        <v>113</v>
      </c>
      <c r="B9" s="3" t="s">
        <v>109</v>
      </c>
      <c r="C9" s="3">
        <v>3</v>
      </c>
      <c r="D9" s="3">
        <v>759</v>
      </c>
      <c r="E9" s="3">
        <v>26750</v>
      </c>
      <c r="F9" s="3">
        <v>0</v>
      </c>
    </row>
    <row r="10" spans="1:7">
      <c r="A10" s="3" t="s">
        <v>113</v>
      </c>
      <c r="B10" s="3" t="s">
        <v>110</v>
      </c>
      <c r="C10" s="3">
        <v>6</v>
      </c>
      <c r="D10" s="3">
        <v>903</v>
      </c>
      <c r="E10" s="3">
        <v>25780</v>
      </c>
      <c r="F10" s="3">
        <v>-3</v>
      </c>
    </row>
    <row r="11" spans="1:7">
      <c r="A11" s="3" t="s">
        <v>113</v>
      </c>
      <c r="B11" s="3" t="s">
        <v>111</v>
      </c>
      <c r="C11" s="3">
        <v>0</v>
      </c>
      <c r="D11" s="3">
        <v>1213</v>
      </c>
      <c r="E11" s="3">
        <v>21380</v>
      </c>
      <c r="F11" s="3">
        <v>-2</v>
      </c>
    </row>
    <row r="12" spans="1:7">
      <c r="A12" s="3" t="s">
        <v>114</v>
      </c>
      <c r="B12" s="3" t="s">
        <v>109</v>
      </c>
      <c r="C12" s="3">
        <v>3</v>
      </c>
      <c r="D12" s="3">
        <v>252</v>
      </c>
      <c r="E12" s="3">
        <v>1000</v>
      </c>
      <c r="F12" s="3">
        <v>0</v>
      </c>
    </row>
    <row r="13" spans="1:7">
      <c r="A13" s="3" t="s">
        <v>114</v>
      </c>
      <c r="B13" s="3" t="s">
        <v>110</v>
      </c>
      <c r="C13" s="3">
        <v>6</v>
      </c>
      <c r="D13" s="3">
        <v>210</v>
      </c>
      <c r="E13" s="3">
        <v>1800</v>
      </c>
      <c r="F13" s="3">
        <v>-2</v>
      </c>
    </row>
    <row r="14" spans="1:7">
      <c r="A14" s="3" t="s">
        <v>114</v>
      </c>
      <c r="B14" s="3" t="s">
        <v>111</v>
      </c>
      <c r="C14" s="3">
        <v>0</v>
      </c>
      <c r="D14" s="3">
        <v>468</v>
      </c>
      <c r="E14" s="3">
        <v>3350</v>
      </c>
      <c r="F14" s="3">
        <v>-1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0789-2886-428A-89C8-7269BA18AB20}">
  <dimension ref="A1:I22"/>
  <sheetViews>
    <sheetView workbookViewId="0">
      <selection activeCell="B3" sqref="B3"/>
    </sheetView>
  </sheetViews>
  <sheetFormatPr defaultRowHeight="15"/>
  <cols>
    <col min="2" max="2" width="37.28515625" bestFit="1" customWidth="1"/>
    <col min="3" max="3" width="32.85546875" bestFit="1" customWidth="1"/>
    <col min="5" max="5" width="17" bestFit="1" customWidth="1"/>
    <col min="6" max="6" width="14.7109375" bestFit="1" customWidth="1"/>
    <col min="7" max="7" width="15.5703125" bestFit="1" customWidth="1"/>
    <col min="8" max="9" width="16.7109375" bestFit="1" customWidth="1"/>
  </cols>
  <sheetData>
    <row r="1" spans="1:9">
      <c r="A1" t="s">
        <v>115</v>
      </c>
      <c r="B1" t="s">
        <v>116</v>
      </c>
      <c r="C1" t="s">
        <v>117</v>
      </c>
      <c r="D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spans="1:9">
      <c r="A2">
        <v>1</v>
      </c>
      <c r="B2" t="s">
        <v>124</v>
      </c>
      <c r="C2" t="s">
        <v>125</v>
      </c>
      <c r="D2" t="s">
        <v>126</v>
      </c>
      <c r="G2" t="s">
        <v>127</v>
      </c>
      <c r="H2">
        <v>4</v>
      </c>
      <c r="I2" t="s">
        <v>127</v>
      </c>
    </row>
    <row r="3" spans="1:9">
      <c r="A3">
        <v>2</v>
      </c>
      <c r="B3" t="s">
        <v>128</v>
      </c>
      <c r="C3" t="s">
        <v>125</v>
      </c>
      <c r="D3" t="s">
        <v>126</v>
      </c>
      <c r="H3">
        <v>1</v>
      </c>
      <c r="I3">
        <v>5</v>
      </c>
    </row>
    <row r="4" spans="1:9">
      <c r="A4">
        <v>3</v>
      </c>
      <c r="B4" t="s">
        <v>129</v>
      </c>
      <c r="C4" t="s">
        <v>130</v>
      </c>
      <c r="D4" t="s">
        <v>131</v>
      </c>
      <c r="H4">
        <v>1</v>
      </c>
      <c r="I4">
        <v>2</v>
      </c>
    </row>
    <row r="5" spans="1:9">
      <c r="A5">
        <v>4</v>
      </c>
      <c r="B5" t="s">
        <v>132</v>
      </c>
      <c r="C5" t="s">
        <v>133</v>
      </c>
      <c r="D5" t="s">
        <v>131</v>
      </c>
      <c r="H5">
        <v>1</v>
      </c>
      <c r="I5">
        <v>4</v>
      </c>
    </row>
    <row r="6" spans="1:9">
      <c r="A6">
        <v>5</v>
      </c>
      <c r="B6" t="s">
        <v>134</v>
      </c>
      <c r="C6" t="s">
        <v>135</v>
      </c>
      <c r="D6" t="s">
        <v>126</v>
      </c>
      <c r="H6">
        <v>4</v>
      </c>
      <c r="I6">
        <v>5</v>
      </c>
    </row>
    <row r="7" spans="1:9">
      <c r="A7">
        <v>6</v>
      </c>
      <c r="B7" t="s">
        <v>136</v>
      </c>
      <c r="C7" t="s">
        <v>137</v>
      </c>
      <c r="D7" t="s">
        <v>126</v>
      </c>
      <c r="H7">
        <v>2</v>
      </c>
      <c r="I7">
        <v>5</v>
      </c>
    </row>
    <row r="8" spans="1:9">
      <c r="A8">
        <v>7</v>
      </c>
      <c r="B8" t="s">
        <v>138</v>
      </c>
      <c r="C8" t="s">
        <v>133</v>
      </c>
      <c r="D8" t="s">
        <v>131</v>
      </c>
      <c r="H8">
        <v>4</v>
      </c>
      <c r="I8">
        <v>5</v>
      </c>
    </row>
    <row r="9" spans="1:9">
      <c r="A9">
        <v>8</v>
      </c>
      <c r="B9" t="s">
        <v>139</v>
      </c>
      <c r="C9" t="s">
        <v>130</v>
      </c>
      <c r="D9" t="s">
        <v>131</v>
      </c>
      <c r="H9">
        <v>2</v>
      </c>
      <c r="I9">
        <v>4</v>
      </c>
    </row>
    <row r="10" spans="1:9">
      <c r="A10">
        <v>9</v>
      </c>
      <c r="B10" t="s">
        <v>140</v>
      </c>
      <c r="C10" t="s">
        <v>130</v>
      </c>
      <c r="D10" t="s">
        <v>131</v>
      </c>
      <c r="H10">
        <v>2</v>
      </c>
      <c r="I10">
        <v>4</v>
      </c>
    </row>
    <row r="11" spans="1:9">
      <c r="A11">
        <v>10</v>
      </c>
      <c r="B11" t="s">
        <v>141</v>
      </c>
      <c r="C11" t="s">
        <v>130</v>
      </c>
      <c r="D11" t="s">
        <v>126</v>
      </c>
      <c r="H11">
        <v>2</v>
      </c>
      <c r="I11">
        <v>4</v>
      </c>
    </row>
    <row r="12" spans="1:9">
      <c r="A12">
        <v>11</v>
      </c>
      <c r="B12" t="s">
        <v>142</v>
      </c>
      <c r="C12" t="s">
        <v>125</v>
      </c>
      <c r="D12" t="s">
        <v>126</v>
      </c>
      <c r="H12">
        <v>4</v>
      </c>
      <c r="I12" t="s">
        <v>127</v>
      </c>
    </row>
    <row r="13" spans="1:9">
      <c r="A13">
        <v>12</v>
      </c>
      <c r="B13" t="s">
        <v>143</v>
      </c>
      <c r="C13" t="s">
        <v>130</v>
      </c>
      <c r="D13" t="s">
        <v>126</v>
      </c>
      <c r="H13">
        <v>2</v>
      </c>
      <c r="I13">
        <v>4</v>
      </c>
    </row>
    <row r="14" spans="1:9">
      <c r="A14">
        <v>13</v>
      </c>
      <c r="B14" t="s">
        <v>144</v>
      </c>
      <c r="C14" t="s">
        <v>130</v>
      </c>
      <c r="D14" t="s">
        <v>126</v>
      </c>
      <c r="H14">
        <v>2</v>
      </c>
      <c r="I14">
        <v>4</v>
      </c>
    </row>
    <row r="15" spans="1:9">
      <c r="A15">
        <v>14</v>
      </c>
      <c r="B15" t="s">
        <v>145</v>
      </c>
      <c r="C15" t="s">
        <v>130</v>
      </c>
      <c r="D15" t="s">
        <v>126</v>
      </c>
      <c r="H15">
        <v>2</v>
      </c>
      <c r="I15">
        <v>4</v>
      </c>
    </row>
    <row r="16" spans="1:9">
      <c r="A16">
        <v>15</v>
      </c>
      <c r="B16" t="s">
        <v>146</v>
      </c>
      <c r="C16" t="s">
        <v>130</v>
      </c>
      <c r="D16" t="s">
        <v>126</v>
      </c>
      <c r="H16">
        <v>2</v>
      </c>
      <c r="I16">
        <v>4</v>
      </c>
    </row>
    <row r="17" spans="1:9">
      <c r="A17">
        <v>16</v>
      </c>
      <c r="B17" t="s">
        <v>147</v>
      </c>
      <c r="C17" t="s">
        <v>125</v>
      </c>
      <c r="D17" t="s">
        <v>126</v>
      </c>
      <c r="H17">
        <v>4</v>
      </c>
      <c r="I17" t="s">
        <v>127</v>
      </c>
    </row>
    <row r="18" spans="1:9">
      <c r="A18">
        <v>17</v>
      </c>
      <c r="B18" t="s">
        <v>148</v>
      </c>
      <c r="C18" t="s">
        <v>125</v>
      </c>
      <c r="D18" t="s">
        <v>126</v>
      </c>
      <c r="H18">
        <v>4</v>
      </c>
      <c r="I18" t="s">
        <v>127</v>
      </c>
    </row>
    <row r="19" spans="1:9">
      <c r="A19">
        <v>18</v>
      </c>
      <c r="B19" t="s">
        <v>149</v>
      </c>
      <c r="C19" t="s">
        <v>130</v>
      </c>
      <c r="D19" t="s">
        <v>126</v>
      </c>
      <c r="H19">
        <v>2</v>
      </c>
      <c r="I19">
        <v>4</v>
      </c>
    </row>
    <row r="20" spans="1:9">
      <c r="A20">
        <v>19</v>
      </c>
      <c r="B20" t="s">
        <v>150</v>
      </c>
      <c r="C20" t="s">
        <v>130</v>
      </c>
      <c r="D20" t="s">
        <v>126</v>
      </c>
      <c r="H20">
        <v>1</v>
      </c>
      <c r="I20">
        <v>3</v>
      </c>
    </row>
    <row r="21" spans="1:9">
      <c r="A21">
        <v>20</v>
      </c>
      <c r="B21" t="s">
        <v>151</v>
      </c>
      <c r="C21" t="s">
        <v>152</v>
      </c>
      <c r="D21" t="s">
        <v>153</v>
      </c>
    </row>
    <row r="22" spans="1:9">
      <c r="A22">
        <v>21</v>
      </c>
      <c r="B22" t="s">
        <v>154</v>
      </c>
      <c r="C22" t="s">
        <v>152</v>
      </c>
      <c r="D22" t="s">
        <v>126</v>
      </c>
      <c r="H22">
        <v>4</v>
      </c>
      <c r="I2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2026-01-16T18:08:09Z</dcterms:created>
  <dcterms:modified xsi:type="dcterms:W3CDTF">2026-01-29T16:23:20Z</dcterms:modified>
  <cp:category/>
  <cp:contentStatus/>
</cp:coreProperties>
</file>