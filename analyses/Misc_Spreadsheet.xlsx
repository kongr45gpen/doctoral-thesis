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konstantinos.kanavou\Documents\git\phd-thesis\analyses\"/>
    </mc:Choice>
  </mc:AlternateContent>
  <xr:revisionPtr revIDLastSave="0" documentId="13_ncr:1_{9BA0FA43-F2FB-4187-BD51-B6A3B157E0F8}" xr6:coauthVersionLast="47" xr6:coauthVersionMax="47" xr10:uidLastSave="{00000000-0000-0000-0000-000000000000}"/>
  <bookViews>
    <workbookView xWindow="-120" yWindow="-120" windowWidth="29040" windowHeight="15720" activeTab="3" xr2:uid="{00000000-000D-0000-FFFF-FFFF00000000}"/>
  </bookViews>
  <sheets>
    <sheet name="Chipsat-1 Work" sheetId="1" r:id="rId1"/>
    <sheet name="ChipSat-1 Cost" sheetId="2" r:id="rId2"/>
    <sheet name="POQUITO Work" sheetId="3" r:id="rId3"/>
    <sheet name="CF Analysi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 l="1"/>
  <c r="C15" i="3" s="1"/>
  <c r="C4" i="3"/>
  <c r="C12" i="3"/>
  <c r="C9" i="3"/>
  <c r="C5" i="3"/>
  <c r="C14" i="3"/>
  <c r="C13" i="3"/>
  <c r="C8" i="3"/>
  <c r="H25" i="1"/>
  <c r="D16" i="2"/>
  <c r="B2" i="2"/>
  <c r="B12" i="2" l="1"/>
  <c r="B14" i="2" s="1"/>
  <c r="D11" i="1" l="1"/>
  <c r="D10" i="1"/>
  <c r="D9" i="1"/>
  <c r="D4" i="1"/>
  <c r="B16" i="1"/>
  <c r="D16" i="1" s="1"/>
  <c r="B15" i="1"/>
  <c r="D15" i="1" s="1"/>
  <c r="B19" i="1" l="1" a="1"/>
  <c r="B1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<sst xmlns="http://schemas.openxmlformats.org/spreadsheetml/2006/main" count="215" uniqueCount="166">
  <si>
    <t>ChipSat-1 Person Hours</t>
  </si>
  <si>
    <t>Hours</t>
  </si>
  <si>
    <t>Sample of initial data: 2022-11</t>
  </si>
  <si>
    <t>Systems Engineering (K)</t>
  </si>
  <si>
    <t>Project Management (O)</t>
  </si>
  <si>
    <t>Orbital Analysis</t>
  </si>
  <si>
    <t>Antenna Simulation</t>
  </si>
  <si>
    <t>?</t>
  </si>
  <si>
    <t>Test Campaign QM</t>
  </si>
  <si>
    <t>Test Campaign FM</t>
  </si>
  <si>
    <t>Test Campaign Antenna</t>
  </si>
  <si>
    <t>Antenna Testing E/M</t>
  </si>
  <si>
    <t>Person Months</t>
  </si>
  <si>
    <t>Scenario 0: Actual</t>
  </si>
  <si>
    <t>Prototyping (K)</t>
  </si>
  <si>
    <t>Integration (K)</t>
  </si>
  <si>
    <t>Software Development (K)</t>
  </si>
  <si>
    <t>Processed data</t>
  </si>
  <si>
    <t>Cost driver</t>
  </si>
  <si>
    <t>Cost (EUR)</t>
  </si>
  <si>
    <t>Details</t>
  </si>
  <si>
    <t>Percentage of total costs</t>
  </si>
  <si>
    <t>Breadboard model</t>
  </si>
  <si>
    <t>Components purchase</t>
  </si>
  <si>
    <t>0,6</t>
  </si>
  <si>
    <t>Structural model (SM)</t>
  </si>
  <si>
    <t>The ChipSat-1 SM was built with an empty PCB and the antennas with their deployment mechanism</t>
  </si>
  <si>
    <t>0,06</t>
  </si>
  <si>
    <t>SM testing</t>
  </si>
  <si>
    <t>Costs of vibration testing (detailed in Table 4)</t>
  </si>
  <si>
    <t>7,3</t>
  </si>
  <si>
    <t>Interface bracket for SM testing and adapters for test platform</t>
  </si>
  <si>
    <t>One aluminum interface bracket and two vibration test adapters (vertical + horizontal)</t>
  </si>
  <si>
    <t>8,9</t>
  </si>
  <si>
    <t>Costs from components purchasing, manufacturing, and assembly with subcontractor</t>
  </si>
  <si>
    <t>14,9</t>
  </si>
  <si>
    <t>16,3</t>
  </si>
  <si>
    <t>ChipSat-1 qualification</t>
  </si>
  <si>
    <t>Costs of qualification testing, random vibration + thermal vacuum and thermal cycling (detailed in Table 4)</t>
  </si>
  <si>
    <t>15,2</t>
  </si>
  <si>
    <t>ChipSat-1 acceptance</t>
  </si>
  <si>
    <t>Costs of acceptance testing, random vibrations (detailed in Table 4)</t>
  </si>
  <si>
    <t>Interface bracket with payload and qualification and acceptance test adapters</t>
  </si>
  <si>
    <t>Two sets of interface brackets and qualification and acceptance tests adapters were manufactured due to last minute interface requirements change</t>
  </si>
  <si>
    <t>(580EUR spent on brackets and adapters that were obsolete after late design changes)</t>
  </si>
  <si>
    <t>21,3</t>
  </si>
  <si>
    <t>Total costs</t>
  </si>
  <si>
    <t>Interface bracket with payload and qualification and acceptance test adapters
Obsolete brackets and adapters after late design changes</t>
  </si>
  <si>
    <t>Iter</t>
  </si>
  <si>
    <t>1,3</t>
  </si>
  <si>
    <t>4,5</t>
  </si>
  <si>
    <t>EM Manufacturing + Components</t>
  </si>
  <si>
    <t>QM and FM Manufacturing + Components</t>
  </si>
  <si>
    <t>Constants</t>
  </si>
  <si>
    <t>Salary/Hour</t>
  </si>
  <si>
    <t>Init. Redesign Chance</t>
  </si>
  <si>
    <t>Cumul. Redesign Chance</t>
  </si>
  <si>
    <t>Cost of Redesign</t>
  </si>
  <si>
    <t>POQUITO Person hours</t>
  </si>
  <si>
    <t>No.</t>
  </si>
  <si>
    <t>Development Time Driver</t>
  </si>
  <si>
    <t>Time Spent hours</t>
  </si>
  <si>
    <t>Integration</t>
  </si>
  <si>
    <t>Software Development</t>
  </si>
  <si>
    <t>Project Management</t>
  </si>
  <si>
    <t>Test Campaign (QM)</t>
  </si>
  <si>
    <t>Test Campaign (FM)</t>
  </si>
  <si>
    <t>Total Time</t>
  </si>
  <si>
    <t>5 days FTE x 2 persons + 1 day FTE x 1 person</t>
  </si>
  <si>
    <t>Direct report</t>
  </si>
  <si>
    <t>3 days FTE x 2 persons</t>
  </si>
  <si>
    <t>4 days FTE x 2 persons</t>
  </si>
  <si>
    <t>Contributors</t>
  </si>
  <si>
    <t>KK</t>
  </si>
  <si>
    <t>AH</t>
  </si>
  <si>
    <t>CBR</t>
  </si>
  <si>
    <t>JMS</t>
  </si>
  <si>
    <t>MA</t>
  </si>
  <si>
    <t>NS</t>
  </si>
  <si>
    <t>SG</t>
  </si>
  <si>
    <t>SKS</t>
  </si>
  <si>
    <t>TDc</t>
  </si>
  <si>
    <t>VF</t>
  </si>
  <si>
    <t>2023-06 to 2024-03</t>
  </si>
  <si>
    <t>Lab work</t>
  </si>
  <si>
    <t>Accounted for + Lab work</t>
  </si>
  <si>
    <t>ADCS</t>
  </si>
  <si>
    <t>3 months * 12hrs/week</t>
  </si>
  <si>
    <t>6 months * 12hrs/week</t>
  </si>
  <si>
    <t>Accounted for + PM + Lab work</t>
  </si>
  <si>
    <t>ChipSat Development</t>
  </si>
  <si>
    <t>ADCS Development</t>
  </si>
  <si>
    <t>2 weeks of work * person, roughly (PLATFORM only)</t>
  </si>
  <si>
    <t>Platform PCB design</t>
  </si>
  <si>
    <t>12 hours/PCB * 2 PCBs (panels+baseplate)</t>
  </si>
  <si>
    <t>In-house soldering</t>
  </si>
  <si>
    <t xml:space="preserve">1 day (panels) + 2 days (ADCS) </t>
  </si>
  <si>
    <t>6 hours / lab session * 1 session/month * 9 months * 2 people</t>
  </si>
  <si>
    <t>3 hrs/document * 12 documents * 2 + 2hours process/procurement * 21 + 24*3 licensing/insurance + 40 hours SW/ENG equivalent</t>
  </si>
  <si>
    <t>Treatment</t>
  </si>
  <si>
    <t>External factors</t>
  </si>
  <si>
    <t>Effects</t>
  </si>
  <si>
    <t>Revised theory</t>
  </si>
  <si>
    <t>Bypassing structural/thermal analysis</t>
  </si>
  <si>
    <t>\acs{DUT} complexity affects chance of non-conformance.</t>
  </si>
  <si>
    <t>The decision to perform no analysis led to a reduction in development time and an increase in cost due to testing.</t>
  </si>
  <si>
    <t>\cfnorevisions</t>
  </si>
  <si>
    <t>In-house manufacturing</t>
  </si>
  <si>
    <t>\acs{DUT} complexity affects chance of non-conformance. Time, cost \&amp; risk delta depend on external manufacturer.</t>
  </si>
  <si>
    <t>Fixed processes, leading to almost identical results, can predictably increase/decrease development time and cost. Risk, however, depends on manufacturing capabilities, communication, and added delays.</t>
  </si>
  <si>
    <t>Actual development time increases due to the added internal effort (blocking time is not modelled in this cumulative model). Cost decreases (no external manufacturing costs). Risk is project-dependent due to confounding factors.</t>
  </si>
  <si>
    <t>Multi-step development</t>
  </si>
  <si>
    <t>Team expertise. External/supplier requirements.</t>
  </si>
  <si>
    <t>Changes in external requirements necessitated multiple iterations. Otherwise, a high initial design time prevails over year-long projects. Multiple iterations lead to a cost increase. Risk depends on the quality of the design/iterations.</t>
  </si>
  <si>
    <t>Short iterations</t>
  </si>
  <si>
    <t>System complexity. Team expertise.</t>
  </si>
  <si>
    <t>Development time and cost can be accurately predicted based on the times \&amp; cost of a single iteration. Risk, however, depends on the reduction of work quality (due to less design) over each iteration.</t>
  </si>
  <si>
    <t>Iterating over partitions</t>
  </si>
  <si>
    <t>System complexity.</t>
  </si>
  <si>
    <t>Cost can be accurately predicted based on the project's cost budget. Lower initial design costs reduce development time. Risk is increased due to less initial data generated.</t>
  </si>
  <si>
    <t>Robust software framework</t>
  </si>
  <si>
    <t>System complexity. Component compatibility. Team expertise.</t>
  </si>
  <si>
    <t>Development time can change, based on the technical compatibility of the system with a desirable framework. No manufacturing cost associated with software. Generalised risk decrease expected based on literature.</t>
  </si>
  <si>
    <t>Development time is project-dependent (based on technical compatibility). Cost should remain similar. Risk decreases due to inherent software framework characteristics.</t>
  </si>
  <si>
    <t>Robotic Process Automation</t>
  </si>
  <si>
    <t>ChipSat</t>
  </si>
  <si>
    <t>\acs{DUT} complexity affects chance of non-conformance. Manufacturing quality.</t>
  </si>
  <si>
    <t>The decision to perform no analysis led to a reduction in development time and no additional testing (in this case, due to system simplicity).</t>
  </si>
  <si>
    <t>Consistent reduction in development time. Test campaigns may increase cost. Increase in risk (due to undetected errors).</t>
  </si>
  <si>
    <t>A high initial design time would prevail over the actual fast schedule of the mission, influenced by its simplicity. Multiple iterations lead to a cost increase. Risk depends on the quality of the design/iterations.</t>
  </si>
  <si>
    <t>The use of partitions led to a delay in manufacturing and testing a complete system. In turn, this led to later data generation for the system. The use of partitions did not generate significant \&amp; meaningful data to be used for later.</t>
  </si>
  <si>
    <t>Development time increased due to unnecessary partitioning. Cost remained similar (no more components purchased). Risk unchanged (no significant information affected system design).</t>
  </si>
  <si>
    <t>System specifications and team expertise allowed for an implementation of a more ``robust'' software framework. We identified actual non-conformances related to the software technologies used (mainly latency, unpredictability, low throughput). Other frameworks or architectures are not shown to be prone to these errors. No indications for change in development time/cost.</t>
  </si>
  <si>
    <t>Degree of ``physicality''. Testing complexity. Team expertise. Available facilities.</t>
  </si>
  <si>
    <t>Repeated testing identified regressions after software/hardware changes. Added effort for process automation counterbalanced by hypothetical repeated effort for manual testing. No hardware equipment needed for \acs{RPA}, leading to no cost change.</t>
  </si>
  <si>
    <t>AI4Space</t>
  </si>
  <si>
    <t>Development time depends on project complexity, with shorter iterations being faster for projects of a smaller technical size. Cost increases due to manufacturing runs. Risk is project-dependent due to low-level factors.</t>
  </si>
  <si>
    <t>\acs{DUT} complexity. Manufacturing quality. Team size.</t>
  </si>
  <si>
    <t>The decision to perform no analysis led to a reduction in development time and no additional testing (in this case, due to reuse).</t>
  </si>
  <si>
    <t>\acs{DUT} complexity. Time, cost \&amp; risk delta depend on external manufacturer.</t>
  </si>
  <si>
    <t>Specific \acs{BDUF} tasks identified that would increase development time and reduce risk. Cost can be calculated by measuring the cost of added iterations.</t>
  </si>
  <si>
    <t>Each system-level iteration of POQUITO is associated with a base manufacturing/testing effort and cost, which increases with the number of iterations. Actual project schedule shows that baseline design effort is also required, meaning that shorter iterations would also require more iterations. Schedule and cost impact can be inferred then directly. Risk seems affected by low-level technical aspects.</t>
  </si>
  <si>
    <t>The use of a partition generated engineering data to be used for later iterations (therefore reducing risk). Cost and time changes are a direct result of working on reduced versions of the system.</t>
  </si>
  <si>
    <t>Development time decreased (no integration effort). Cost reduced (less manufacturing). Risk decreased (information used in later iterations before system completion).</t>
  </si>
  <si>
    <t>Degree of ``physicality''. Testing complexity. Team size. Team expertise. Available facilities.</t>
  </si>
  <si>
    <t>Manual testing procedures were not repeatable, leading to the delayed discovery of regressions. Due to the availability of equipment and tooling, \acs{RPA} would add no identifiable delays or costs.</t>
  </si>
  <si>
    <t>POQUITO</t>
  </si>
  <si>
    <t>Specific \acs{BDUF} shortcomings identified, caused because of the software complexity and lack of specific experience, that would anyway require a second iteration. Cost can be calculated based on component prices. Risk assumed to increase due to the reduced design effort.</t>
  </si>
  <si>
    <t>System complexity. Team expertise. Team size.</t>
  </si>
  <si>
    <t>Effects of short iterations generally linked to small team size. Cost can be calculated based on component sizes.</t>
  </si>
  <si>
    <t>Development time depends on project complexity and team size. Cost increases due to manufacturing runs. Risk is project-dependent due to low-level factors.</t>
  </si>
  <si>
    <t>System complexity. Team expertise. Team size. \acs{COTS} availability.</t>
  </si>
  <si>
    <t>Software performance and reliability issues identified, caused by technical aspects of the chosen software architecture and technologies. Development time for software changes influenced heavily by expertise, prior work, hardware, and features. No cost change factors identified.</t>
  </si>
  <si>
    <t>Development time depends on low-level factors. Cost remains similar. Risk is reduced.</t>
  </si>
  <si>
    <t>On the one hand, manual testing procedures were not repeatable, leading to increased development time. On the other hand, due to the ``photographic'' nature of the project,\acs{RPA} would require additional effort which cannot be easily estimated. Due to the availability of equipment and tooling, \acs{RPA} would add no identifiable costs.</t>
  </si>
  <si>
    <t>ChiPySat</t>
  </si>
  <si>
    <t>Initial Theory</t>
  </si>
  <si>
    <t>Consistent reduction in development time, but significant increase in cost (due to test campaigns). Increase in risk (due to undetected errors).</t>
  </si>
  <si>
    <t>Total development time should decrease. Cost should decrease (assuming no external manufacturing costs). Risk should increase (assuming team not experienced in manufacturing for space)</t>
  </si>
  <si>
    <t>Total development time should decrease (assuming a long \acs{BDUF} step). Cost should increase (due to more manufacturing runs). Risk should be project-dependent (based on whether a team can predict non-conformances early or late).</t>
  </si>
  <si>
    <t>Development time should decrease. Cost should increase (due to more manufacturing runs). Risk should be project-dependent (based on project size and whether iteration length \&amp; team size are suitable).</t>
  </si>
  <si>
    <t>Development time should stay the same (assuming constant number of iterations). Cost should decrease (less manufacturing). Risk should increase (less early data about complete system performance).</t>
  </si>
  <si>
    <t>Development time and cost should stay the same, with reduced risk.</t>
  </si>
  <si>
    <t>Development time should be project-dependent (cost of automation vs.\@ less manual effort). Cost should increase (when infrastructure needed to automate testing). Risk should decrease (general assumption based on increased testing).</t>
  </si>
  <si>
    <t>Development time depends on low-level project-dependent factors. No factors influence cost. Risk decreases due to inherent software framework characteristics.</t>
  </si>
  <si>
    <t>Development time depends on project size. Cost may decrease (due to reduced manufacturing). Risk reduction depends on project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</si>
</sst>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Times New Roman"/>
      <family val="1"/>
    </font>
    <font>
      <sz val="10"/>
      <color theme="1"/>
      <name val="Times New Roman"/>
      <family val="1"/>
    </font>
    <font>
      <sz val="9"/>
      <color theme="1"/>
      <name val="Calibri"/>
      <family val="2"/>
      <scheme val="minor"/>
    </font>
    <font>
      <sz val="8"/>
      <color theme="1"/>
      <name val="Calibri"/>
      <family val="2"/>
      <scheme val="minor"/>
    </font>
    <font>
      <b/>
      <sz val="8"/>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9"/>
        <bgColor indexed="64"/>
      </patternFill>
    </fill>
    <fill>
      <patternFill patternType="solid">
        <fgColor theme="5"/>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rgb="FFFFFFFF"/>
      </right>
      <top/>
      <bottom style="medium">
        <color rgb="FFFFFFFF"/>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s>
  <cellStyleXfs count="2">
    <xf numFmtId="0" fontId="0" fillId="0" borderId="0"/>
    <xf numFmtId="43" fontId="1" fillId="0" borderId="0" applyFont="0" applyFill="0" applyBorder="0" applyAlignment="0" applyProtection="0"/>
  </cellStyleXfs>
  <cellXfs count="37">
    <xf numFmtId="0" fontId="0" fillId="0" borderId="0" xfId="0"/>
    <xf numFmtId="0" fontId="0" fillId="0" borderId="0" xfId="0" applyAlignment="1">
      <alignment horizontal="right"/>
    </xf>
    <xf numFmtId="43" fontId="0" fillId="0" borderId="0" xfId="1" applyFont="1"/>
    <xf numFmtId="0" fontId="2" fillId="0" borderId="0" xfId="0" applyFont="1"/>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3" fillId="0" borderId="3" xfId="0" applyFont="1" applyBorder="1" applyAlignment="1">
      <alignment horizontal="right" vertical="center" wrapText="1"/>
    </xf>
    <xf numFmtId="0" fontId="4" fillId="0" borderId="6" xfId="0" applyFont="1" applyBorder="1" applyAlignment="1">
      <alignment horizontal="center" vertical="center" wrapText="1"/>
    </xf>
    <xf numFmtId="0" fontId="4" fillId="0" borderId="0" xfId="0" applyFont="1" applyAlignment="1">
      <alignment horizontal="justify" vertical="center"/>
    </xf>
    <xf numFmtId="0" fontId="4" fillId="0" borderId="0" xfId="0" applyFont="1" applyAlignment="1">
      <alignment horizontal="center" vertical="center" wrapText="1"/>
    </xf>
    <xf numFmtId="2" fontId="0" fillId="0" borderId="0" xfId="0" applyNumberFormat="1"/>
    <xf numFmtId="0" fontId="0" fillId="2" borderId="0" xfId="0" applyFill="1"/>
    <xf numFmtId="9" fontId="0" fillId="0" borderId="0" xfId="0" applyNumberFormat="1"/>
    <xf numFmtId="0" fontId="0" fillId="0" borderId="0" xfId="0" applyAlignment="1">
      <alignment vertical="center" wrapText="1"/>
    </xf>
    <xf numFmtId="0" fontId="2" fillId="0" borderId="0" xfId="0" applyFont="1" applyAlignment="1">
      <alignment vertical="center" wrapText="1"/>
    </xf>
    <xf numFmtId="0" fontId="5" fillId="0" borderId="0" xfId="0" applyFont="1" applyAlignment="1">
      <alignment vertical="center" wrapText="1"/>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0" fillId="0" borderId="0" xfId="0" applyAlignment="1">
      <alignment horizontal="left" vertical="top" wrapText="1"/>
    </xf>
    <xf numFmtId="0" fontId="0" fillId="0" borderId="0" xfId="0" applyAlignment="1">
      <alignment vertical="center" wrapText="1"/>
    </xf>
    <xf numFmtId="0" fontId="0" fillId="0" borderId="0" xfId="0" applyAlignment="1">
      <alignment horizontal="left" vertical="center" wrapText="1"/>
    </xf>
    <xf numFmtId="0" fontId="2" fillId="0" borderId="0" xfId="0" applyFont="1" applyAlignment="1">
      <alignment vertical="center" wrapText="1"/>
    </xf>
    <xf numFmtId="0" fontId="6" fillId="0" borderId="0" xfId="0" applyFont="1"/>
    <xf numFmtId="0" fontId="7" fillId="0" borderId="0" xfId="0" applyFont="1" applyAlignment="1">
      <alignment horizontal="center"/>
    </xf>
    <xf numFmtId="0" fontId="6" fillId="0" borderId="0" xfId="0" applyFont="1" applyAlignment="1">
      <alignment vertical="center" wrapText="1"/>
    </xf>
    <xf numFmtId="0" fontId="6" fillId="0" borderId="8" xfId="0" applyFont="1" applyBorder="1" applyAlignment="1">
      <alignment vertical="center" wrapText="1"/>
    </xf>
    <xf numFmtId="0" fontId="0" fillId="0" borderId="8" xfId="0" applyBorder="1"/>
    <xf numFmtId="0" fontId="6" fillId="0" borderId="8" xfId="0" applyFont="1" applyBorder="1"/>
    <xf numFmtId="0" fontId="7" fillId="0" borderId="0" xfId="0" applyFont="1"/>
    <xf numFmtId="0" fontId="6" fillId="0" borderId="9" xfId="0" applyFont="1" applyBorder="1" applyAlignment="1">
      <alignment vertical="center" wrapText="1"/>
    </xf>
    <xf numFmtId="0" fontId="6" fillId="3" borderId="9" xfId="0" applyFont="1" applyFill="1" applyBorder="1" applyAlignment="1">
      <alignment vertical="center" wrapText="1"/>
    </xf>
    <xf numFmtId="0" fontId="0" fillId="0" borderId="0" xfId="0" applyAlignment="1">
      <alignment wrapText="1"/>
    </xf>
    <xf numFmtId="0" fontId="0" fillId="4" borderId="0" xfId="0" applyFill="1" applyAlignment="1">
      <alignment wrapText="1"/>
    </xf>
    <xf numFmtId="0" fontId="6" fillId="4" borderId="0" xfId="0" applyFont="1" applyFill="1" applyAlignment="1">
      <alignment vertical="center" wrapText="1"/>
    </xf>
  </cellXfs>
  <cellStyles count="2">
    <cellStyle name="Comma" xfId="1" builtinId="3"/>
    <cellStyle name="Normal" xfId="0" builtinId="0"/>
  </cellStyles>
  <dxfs count="2">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476249</xdr:colOff>
      <xdr:row>1</xdr:row>
      <xdr:rowOff>229279</xdr:rowOff>
    </xdr:from>
    <xdr:to>
      <xdr:col>24</xdr:col>
      <xdr:colOff>240232</xdr:colOff>
      <xdr:row>16</xdr:row>
      <xdr:rowOff>201239</xdr:rowOff>
    </xdr:to>
    <xdr:pic>
      <xdr:nvPicPr>
        <xdr:cNvPr id="3" name="Picture 2">
          <a:extLst>
            <a:ext uri="{FF2B5EF4-FFF2-40B4-BE49-F238E27FC236}">
              <a16:creationId xmlns:a16="http://schemas.microsoft.com/office/drawing/2014/main" id="{7C1C6627-A49C-AD5F-5FA1-F187D7478EE3}"/>
            </a:ext>
          </a:extLst>
        </xdr:cNvPr>
        <xdr:cNvPicPr>
          <a:picLocks noChangeAspect="1"/>
        </xdr:cNvPicPr>
      </xdr:nvPicPr>
      <xdr:blipFill>
        <a:blip xmlns:r="http://schemas.openxmlformats.org/officeDocument/2006/relationships" r:embed="rId1"/>
        <a:stretch>
          <a:fillRect/>
        </a:stretch>
      </xdr:blipFill>
      <xdr:spPr>
        <a:xfrm>
          <a:off x="12125324" y="619804"/>
          <a:ext cx="10127183" cy="58298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workbookViewId="0">
      <selection activeCell="B19" sqref="B19"/>
    </sheetView>
  </sheetViews>
  <sheetFormatPr defaultRowHeight="15" x14ac:dyDescent="0.25"/>
  <cols>
    <col min="1" max="1" width="28" bestFit="1" customWidth="1"/>
    <col min="2" max="2" width="12" customWidth="1"/>
    <col min="7" max="7" width="12.85546875" bestFit="1" customWidth="1"/>
  </cols>
  <sheetData>
    <row r="1" spans="1:4" x14ac:dyDescent="0.25">
      <c r="A1" t="s">
        <v>0</v>
      </c>
      <c r="B1" s="1" t="s">
        <v>1</v>
      </c>
    </row>
    <row r="2" spans="1:4" x14ac:dyDescent="0.25">
      <c r="B2" t="s">
        <v>2</v>
      </c>
      <c r="D2" t="s">
        <v>17</v>
      </c>
    </row>
    <row r="4" spans="1:4" x14ac:dyDescent="0.25">
      <c r="A4" t="s">
        <v>11</v>
      </c>
      <c r="B4">
        <v>48</v>
      </c>
      <c r="D4">
        <f>B4</f>
        <v>48</v>
      </c>
    </row>
    <row r="5" spans="1:4" x14ac:dyDescent="0.25">
      <c r="A5" t="s">
        <v>14</v>
      </c>
      <c r="D5">
        <v>75</v>
      </c>
    </row>
    <row r="6" spans="1:4" x14ac:dyDescent="0.25">
      <c r="A6" t="s">
        <v>15</v>
      </c>
      <c r="D6">
        <v>75</v>
      </c>
    </row>
    <row r="7" spans="1:4" x14ac:dyDescent="0.25">
      <c r="A7" t="s">
        <v>16</v>
      </c>
      <c r="D7">
        <v>75</v>
      </c>
    </row>
    <row r="8" spans="1:4" x14ac:dyDescent="0.25">
      <c r="A8" t="s">
        <v>3</v>
      </c>
      <c r="B8">
        <v>224</v>
      </c>
    </row>
    <row r="9" spans="1:4" x14ac:dyDescent="0.25">
      <c r="A9" t="s">
        <v>4</v>
      </c>
      <c r="B9">
        <v>112</v>
      </c>
      <c r="D9">
        <f>B9</f>
        <v>112</v>
      </c>
    </row>
    <row r="10" spans="1:4" x14ac:dyDescent="0.25">
      <c r="A10" t="s">
        <v>5</v>
      </c>
      <c r="B10">
        <v>10</v>
      </c>
      <c r="C10" t="s">
        <v>7</v>
      </c>
      <c r="D10">
        <f>B10</f>
        <v>10</v>
      </c>
    </row>
    <row r="11" spans="1:4" x14ac:dyDescent="0.25">
      <c r="A11" t="s">
        <v>6</v>
      </c>
      <c r="B11">
        <v>24</v>
      </c>
      <c r="C11" t="s">
        <v>7</v>
      </c>
      <c r="D11">
        <f>B11</f>
        <v>24</v>
      </c>
    </row>
    <row r="14" spans="1:4" x14ac:dyDescent="0.25">
      <c r="A14" t="s">
        <v>10</v>
      </c>
      <c r="B14">
        <v>12</v>
      </c>
      <c r="D14">
        <v>0</v>
      </c>
    </row>
    <row r="15" spans="1:4" x14ac:dyDescent="0.25">
      <c r="A15" t="s">
        <v>8</v>
      </c>
      <c r="B15">
        <f>3*8</f>
        <v>24</v>
      </c>
      <c r="D15">
        <f>B15</f>
        <v>24</v>
      </c>
    </row>
    <row r="16" spans="1:4" x14ac:dyDescent="0.25">
      <c r="A16" t="s">
        <v>9</v>
      </c>
      <c r="B16">
        <f>3*8</f>
        <v>24</v>
      </c>
      <c r="D16">
        <f>B16</f>
        <v>24</v>
      </c>
    </row>
    <row r="19" spans="1:8" x14ac:dyDescent="0.25">
      <c r="A19" t="s">
        <v>12</v>
      </c>
      <c r="B19" s="2" cm="1">
        <f t="array" ref="B19">SUM(B3:B18/152)</f>
        <v>3.1447368421052633</v>
      </c>
    </row>
    <row r="22" spans="1:8" x14ac:dyDescent="0.25">
      <c r="A22" s="3" t="s">
        <v>13</v>
      </c>
      <c r="D22" s="3"/>
    </row>
    <row r="23" spans="1:8" x14ac:dyDescent="0.25">
      <c r="D23" s="3"/>
    </row>
    <row r="24" spans="1:8" x14ac:dyDescent="0.25">
      <c r="A24" s="3" t="s">
        <v>53</v>
      </c>
      <c r="B24" s="3" t="s">
        <v>54</v>
      </c>
      <c r="D24" s="3" t="s">
        <v>55</v>
      </c>
      <c r="F24" s="3" t="s">
        <v>56</v>
      </c>
      <c r="H24" s="3" t="s">
        <v>57</v>
      </c>
    </row>
    <row r="25" spans="1:8" x14ac:dyDescent="0.25">
      <c r="B25" s="14">
        <v>133</v>
      </c>
      <c r="D25" s="15">
        <v>0.25</v>
      </c>
      <c r="F25" s="15">
        <v>0.25</v>
      </c>
      <c r="H25">
        <f>2690+75*B25</f>
        <v>12665</v>
      </c>
    </row>
    <row r="28" spans="1:8" x14ac:dyDescent="0.25">
      <c r="A28" s="3"/>
    </row>
    <row r="29" spans="1:8" x14ac:dyDescent="0.25">
      <c r="C29" s="13"/>
      <c r="D29" s="13"/>
      <c r="E29" s="13"/>
      <c r="G29" s="13"/>
    </row>
    <row r="30" spans="1:8" x14ac:dyDescent="0.25">
      <c r="C30" s="13"/>
      <c r="D30" s="13"/>
      <c r="E30" s="13"/>
      <c r="G30" s="13"/>
    </row>
    <row r="31" spans="1:8" x14ac:dyDescent="0.25">
      <c r="C31" s="13"/>
      <c r="D31" s="13"/>
      <c r="E31" s="13"/>
      <c r="G31" s="13"/>
    </row>
    <row r="32" spans="1:8" x14ac:dyDescent="0.25">
      <c r="C32" s="13"/>
      <c r="D32" s="13"/>
      <c r="E32" s="13"/>
      <c r="G32" s="13"/>
    </row>
    <row r="33" spans="3:5" x14ac:dyDescent="0.25">
      <c r="C33" s="13"/>
      <c r="D33" s="13"/>
      <c r="E33" s="13"/>
    </row>
    <row r="34" spans="3:5" x14ac:dyDescent="0.25">
      <c r="C34" s="13"/>
      <c r="D34" s="13"/>
      <c r="E34" s="13"/>
    </row>
    <row r="35" spans="3:5" x14ac:dyDescent="0.25">
      <c r="C35" s="13"/>
      <c r="D35" s="13"/>
      <c r="E35" s="13"/>
    </row>
    <row r="36" spans="3:5" x14ac:dyDescent="0.25">
      <c r="C36" s="13"/>
      <c r="D36" s="13"/>
      <c r="E36" s="13"/>
    </row>
  </sheetData>
  <conditionalFormatting sqref="B4:B16">
    <cfRule type="dataBar" priority="2">
      <dataBar>
        <cfvo type="min"/>
        <cfvo type="max"/>
        <color rgb="FFFFB628"/>
      </dataBar>
      <extLst>
        <ext xmlns:x14="http://schemas.microsoft.com/office/spreadsheetml/2009/9/main" uri="{B025F937-C7B1-47D3-B67F-A62EFF666E3E}">
          <x14:id>{3DF8A6F9-E484-4A5A-8595-8DE72EA63AA4}</x14:id>
        </ext>
      </extLst>
    </cfRule>
  </conditionalFormatting>
  <conditionalFormatting sqref="D4:D16">
    <cfRule type="dataBar" priority="1">
      <dataBar>
        <cfvo type="min"/>
        <cfvo type="max"/>
        <color rgb="FFFFB628"/>
      </dataBar>
      <extLst>
        <ext xmlns:x14="http://schemas.microsoft.com/office/spreadsheetml/2009/9/main" uri="{B025F937-C7B1-47D3-B67F-A62EFF666E3E}">
          <x14:id>{3690F3D7-C591-4B98-916A-5B0D8BD1D492}</x14:id>
        </ext>
      </extLst>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dataBar" id="{3DF8A6F9-E484-4A5A-8595-8DE72EA63AA4}">
            <x14:dataBar minLength="0" maxLength="100" gradient="0">
              <x14:cfvo type="autoMin"/>
              <x14:cfvo type="autoMax"/>
              <x14:negativeFillColor rgb="FFFF0000"/>
              <x14:axisColor rgb="FF000000"/>
            </x14:dataBar>
          </x14:cfRule>
          <xm:sqref>B4:B16</xm:sqref>
        </x14:conditionalFormatting>
        <x14:conditionalFormatting xmlns:xm="http://schemas.microsoft.com/office/excel/2006/main">
          <x14:cfRule type="dataBar" id="{3690F3D7-C591-4B98-916A-5B0D8BD1D492}">
            <x14:dataBar minLength="0" maxLength="100" gradient="0">
              <x14:cfvo type="autoMin"/>
              <x14:cfvo type="autoMax"/>
              <x14:negativeFillColor rgb="FFFF0000"/>
              <x14:axisColor rgb="FF000000"/>
            </x14:dataBar>
          </x14:cfRule>
          <xm:sqref>D4:D16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47E8-D1A2-4478-949E-7BB55C35260F}">
  <dimension ref="A1:E16"/>
  <sheetViews>
    <sheetView workbookViewId="0">
      <selection activeCell="D16" sqref="D16"/>
    </sheetView>
  </sheetViews>
  <sheetFormatPr defaultRowHeight="30.75" customHeight="1" x14ac:dyDescent="0.25"/>
  <cols>
    <col min="1" max="1" width="62.28515625" bestFit="1" customWidth="1"/>
    <col min="2" max="2" width="5.5703125" bestFit="1" customWidth="1"/>
    <col min="3" max="3" width="5.5703125" customWidth="1"/>
    <col min="4" max="4" width="61.42578125" bestFit="1" customWidth="1"/>
    <col min="5" max="5" width="21.5703125" customWidth="1"/>
  </cols>
  <sheetData>
    <row r="1" spans="1:5" ht="30.75" customHeight="1" thickBot="1" x14ac:dyDescent="0.3">
      <c r="A1" s="4" t="s">
        <v>18</v>
      </c>
      <c r="B1" s="5" t="s">
        <v>19</v>
      </c>
      <c r="C1" s="5" t="s">
        <v>48</v>
      </c>
      <c r="D1" s="5" t="s">
        <v>20</v>
      </c>
      <c r="E1" s="5" t="s">
        <v>21</v>
      </c>
    </row>
    <row r="2" spans="1:5" ht="30.75" customHeight="1" thickBot="1" x14ac:dyDescent="0.3">
      <c r="A2" s="6" t="s">
        <v>22</v>
      </c>
      <c r="B2" s="7">
        <f>334+120</f>
        <v>454</v>
      </c>
      <c r="C2" s="7" t="s">
        <v>49</v>
      </c>
      <c r="D2" s="7" t="s">
        <v>23</v>
      </c>
      <c r="E2" s="7" t="s">
        <v>24</v>
      </c>
    </row>
    <row r="3" spans="1:5" ht="30.75" customHeight="1" thickBot="1" x14ac:dyDescent="0.3">
      <c r="A3" s="6" t="s">
        <v>25</v>
      </c>
      <c r="B3" s="7">
        <v>5</v>
      </c>
      <c r="C3" s="7">
        <v>3</v>
      </c>
      <c r="D3" s="7" t="s">
        <v>26</v>
      </c>
      <c r="E3" s="7" t="s">
        <v>27</v>
      </c>
    </row>
    <row r="4" spans="1:5" ht="30.75" customHeight="1" thickBot="1" x14ac:dyDescent="0.3">
      <c r="A4" s="6" t="s">
        <v>51</v>
      </c>
      <c r="B4" s="7">
        <v>1274</v>
      </c>
      <c r="C4" s="7">
        <v>2</v>
      </c>
      <c r="D4" s="7" t="s">
        <v>34</v>
      </c>
      <c r="E4" s="7" t="s">
        <v>35</v>
      </c>
    </row>
    <row r="5" spans="1:5" ht="30.75" customHeight="1" thickBot="1" x14ac:dyDescent="0.3">
      <c r="A5" s="6" t="s">
        <v>28</v>
      </c>
      <c r="B5" s="7">
        <v>625</v>
      </c>
      <c r="C5" s="7">
        <v>3</v>
      </c>
      <c r="D5" s="7" t="s">
        <v>29</v>
      </c>
      <c r="E5" s="7" t="s">
        <v>30</v>
      </c>
    </row>
    <row r="6" spans="1:5" ht="30.75" customHeight="1" thickBot="1" x14ac:dyDescent="0.3">
      <c r="A6" s="6" t="s">
        <v>31</v>
      </c>
      <c r="B6" s="7">
        <v>760</v>
      </c>
      <c r="C6" s="7">
        <v>3</v>
      </c>
      <c r="D6" s="7" t="s">
        <v>32</v>
      </c>
      <c r="E6" s="7" t="s">
        <v>33</v>
      </c>
    </row>
    <row r="7" spans="1:5" ht="30.75" customHeight="1" thickBot="1" x14ac:dyDescent="0.3">
      <c r="A7" s="6" t="s">
        <v>52</v>
      </c>
      <c r="B7" s="7">
        <v>1392</v>
      </c>
      <c r="C7" s="7">
        <v>4</v>
      </c>
      <c r="D7" s="7" t="s">
        <v>34</v>
      </c>
      <c r="E7" s="7" t="s">
        <v>36</v>
      </c>
    </row>
    <row r="8" spans="1:5" ht="30.75" customHeight="1" thickBot="1" x14ac:dyDescent="0.3">
      <c r="A8" s="6" t="s">
        <v>37</v>
      </c>
      <c r="B8" s="7">
        <v>1300</v>
      </c>
      <c r="C8" s="7">
        <v>4</v>
      </c>
      <c r="D8" s="7" t="s">
        <v>38</v>
      </c>
      <c r="E8" s="7" t="s">
        <v>39</v>
      </c>
    </row>
    <row r="9" spans="1:5" ht="30.75" customHeight="1" thickBot="1" x14ac:dyDescent="0.3">
      <c r="A9" s="6" t="s">
        <v>40</v>
      </c>
      <c r="B9" s="7">
        <v>1300</v>
      </c>
      <c r="C9" s="7">
        <v>5</v>
      </c>
      <c r="D9" s="7" t="s">
        <v>41</v>
      </c>
      <c r="E9" s="7" t="s">
        <v>39</v>
      </c>
    </row>
    <row r="10" spans="1:5" ht="30.75" customHeight="1" x14ac:dyDescent="0.25">
      <c r="A10" s="19" t="s">
        <v>47</v>
      </c>
      <c r="B10" s="19">
        <v>580</v>
      </c>
      <c r="C10" s="19">
        <v>3</v>
      </c>
      <c r="D10" s="8"/>
      <c r="E10" s="8"/>
    </row>
    <row r="11" spans="1:5" ht="30.75" customHeight="1" thickBot="1" x14ac:dyDescent="0.3">
      <c r="A11" s="20"/>
      <c r="B11" s="20"/>
      <c r="C11" s="20"/>
      <c r="D11" s="7"/>
      <c r="E11" s="8"/>
    </row>
    <row r="12" spans="1:5" ht="30.75" customHeight="1" x14ac:dyDescent="0.25">
      <c r="A12" s="19" t="s">
        <v>42</v>
      </c>
      <c r="B12" s="19">
        <f>1820-580</f>
        <v>1240</v>
      </c>
      <c r="C12" s="19" t="s">
        <v>50</v>
      </c>
      <c r="D12" s="8" t="s">
        <v>43</v>
      </c>
      <c r="E12" s="19" t="s">
        <v>45</v>
      </c>
    </row>
    <row r="13" spans="1:5" ht="30.75" customHeight="1" thickBot="1" x14ac:dyDescent="0.3">
      <c r="A13" s="20"/>
      <c r="B13" s="20"/>
      <c r="C13" s="20"/>
      <c r="D13" s="7" t="s">
        <v>44</v>
      </c>
      <c r="E13" s="20"/>
    </row>
    <row r="14" spans="1:5" ht="30.75" customHeight="1" thickBot="1" x14ac:dyDescent="0.3">
      <c r="A14" s="9" t="s">
        <v>46</v>
      </c>
      <c r="B14" s="7">
        <f>SUM(B2:B13)</f>
        <v>8930</v>
      </c>
      <c r="C14" s="12"/>
      <c r="D14" s="10"/>
      <c r="E14" s="10"/>
    </row>
    <row r="15" spans="1:5" ht="30.75" customHeight="1" x14ac:dyDescent="0.25">
      <c r="A15" s="11"/>
    </row>
    <row r="16" spans="1:5" ht="30.75" customHeight="1" x14ac:dyDescent="0.25">
      <c r="D16">
        <f>450+1270+5+760+630+1390+580+1240+1300+1300</f>
        <v>8925</v>
      </c>
    </row>
  </sheetData>
  <mergeCells count="7">
    <mergeCell ref="A12:A13"/>
    <mergeCell ref="B12:B13"/>
    <mergeCell ref="E12:E13"/>
    <mergeCell ref="A10:A11"/>
    <mergeCell ref="B10:B11"/>
    <mergeCell ref="C10:C11"/>
    <mergeCell ref="C12:C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F0396-91EB-4EA5-913D-6AE4021F629A}">
  <dimension ref="A1:D34"/>
  <sheetViews>
    <sheetView workbookViewId="0">
      <selection activeCell="B19" sqref="B19"/>
    </sheetView>
  </sheetViews>
  <sheetFormatPr defaultRowHeight="15" x14ac:dyDescent="0.25"/>
  <cols>
    <col min="1" max="1" width="21.7109375" bestFit="1" customWidth="1"/>
    <col min="2" max="2" width="24.28515625" bestFit="1" customWidth="1"/>
    <col min="3" max="3" width="12.5703125" customWidth="1"/>
    <col min="4" max="4" width="89.5703125" bestFit="1" customWidth="1"/>
  </cols>
  <sheetData>
    <row r="1" spans="1:4" x14ac:dyDescent="0.25">
      <c r="A1" t="s">
        <v>58</v>
      </c>
    </row>
    <row r="3" spans="1:4" ht="36" x14ac:dyDescent="0.25">
      <c r="A3" s="16" t="s">
        <v>59</v>
      </c>
      <c r="B3" s="17" t="s">
        <v>60</v>
      </c>
      <c r="C3" s="18" t="s">
        <v>61</v>
      </c>
    </row>
    <row r="4" spans="1:4" x14ac:dyDescent="0.25">
      <c r="A4" s="16">
        <v>1</v>
      </c>
      <c r="B4" s="17" t="s">
        <v>62</v>
      </c>
      <c r="C4" s="16">
        <f>6*9*2</f>
        <v>108</v>
      </c>
      <c r="D4" t="s">
        <v>97</v>
      </c>
    </row>
    <row r="5" spans="1:4" x14ac:dyDescent="0.25">
      <c r="A5" s="16">
        <v>2</v>
      </c>
      <c r="B5" s="17" t="s">
        <v>63</v>
      </c>
      <c r="C5" s="16">
        <f>2*20</f>
        <v>40</v>
      </c>
      <c r="D5" t="s">
        <v>92</v>
      </c>
    </row>
    <row r="6" spans="1:4" x14ac:dyDescent="0.25">
      <c r="A6" s="16">
        <v>3</v>
      </c>
      <c r="B6" s="17" t="s">
        <v>64</v>
      </c>
      <c r="C6" s="16">
        <f>3*12*2+2*21+24*3+40</f>
        <v>226</v>
      </c>
      <c r="D6" t="s">
        <v>98</v>
      </c>
    </row>
    <row r="7" spans="1:4" ht="15" customHeight="1" x14ac:dyDescent="0.25">
      <c r="A7" s="16">
        <v>4</v>
      </c>
      <c r="B7" s="17" t="s">
        <v>6</v>
      </c>
      <c r="C7" s="16">
        <v>3</v>
      </c>
      <c r="D7" t="s">
        <v>69</v>
      </c>
    </row>
    <row r="8" spans="1:4" x14ac:dyDescent="0.25">
      <c r="A8" s="16">
        <v>5</v>
      </c>
      <c r="B8" s="17" t="s">
        <v>5</v>
      </c>
      <c r="C8" s="16">
        <f>5*6*2+6</f>
        <v>66</v>
      </c>
      <c r="D8" t="s">
        <v>68</v>
      </c>
    </row>
    <row r="9" spans="1:4" x14ac:dyDescent="0.25">
      <c r="A9" s="16">
        <v>6</v>
      </c>
      <c r="B9" s="17" t="s">
        <v>93</v>
      </c>
      <c r="C9" s="16">
        <f>2*12</f>
        <v>24</v>
      </c>
      <c r="D9" t="s">
        <v>94</v>
      </c>
    </row>
    <row r="10" spans="1:4" ht="15" customHeight="1" x14ac:dyDescent="0.25">
      <c r="A10" s="16">
        <v>7</v>
      </c>
      <c r="B10" s="3" t="s">
        <v>90</v>
      </c>
      <c r="C10">
        <v>52</v>
      </c>
    </row>
    <row r="11" spans="1:4" x14ac:dyDescent="0.25">
      <c r="A11" s="16">
        <v>8</v>
      </c>
      <c r="B11" s="17" t="s">
        <v>91</v>
      </c>
      <c r="C11" s="16">
        <v>104</v>
      </c>
    </row>
    <row r="12" spans="1:4" x14ac:dyDescent="0.25">
      <c r="A12" s="16">
        <v>9</v>
      </c>
      <c r="B12" s="17" t="s">
        <v>95</v>
      </c>
      <c r="C12" s="16">
        <f>3*8</f>
        <v>24</v>
      </c>
      <c r="D12" t="s">
        <v>96</v>
      </c>
    </row>
    <row r="13" spans="1:4" x14ac:dyDescent="0.25">
      <c r="A13" s="16">
        <v>10</v>
      </c>
      <c r="B13" s="17" t="s">
        <v>65</v>
      </c>
      <c r="C13" s="16">
        <f>3*8*2</f>
        <v>48</v>
      </c>
      <c r="D13" t="s">
        <v>70</v>
      </c>
    </row>
    <row r="14" spans="1:4" x14ac:dyDescent="0.25">
      <c r="A14" s="16">
        <v>11</v>
      </c>
      <c r="B14" s="17" t="s">
        <v>66</v>
      </c>
      <c r="C14" s="16">
        <f>4*8*2</f>
        <v>64</v>
      </c>
      <c r="D14" t="s">
        <v>71</v>
      </c>
    </row>
    <row r="15" spans="1:4" x14ac:dyDescent="0.25">
      <c r="A15" s="16"/>
      <c r="B15" s="17" t="s">
        <v>67</v>
      </c>
      <c r="C15" s="16">
        <f>SUM(C4:C14)</f>
        <v>759</v>
      </c>
    </row>
    <row r="16" spans="1:4" x14ac:dyDescent="0.25">
      <c r="A16" s="16"/>
      <c r="B16" s="17"/>
      <c r="C16" s="16"/>
    </row>
    <row r="24" spans="2:3" x14ac:dyDescent="0.25">
      <c r="B24" t="s">
        <v>72</v>
      </c>
    </row>
    <row r="25" spans="2:3" x14ac:dyDescent="0.25">
      <c r="B25" t="s">
        <v>73</v>
      </c>
      <c r="C25" t="s">
        <v>83</v>
      </c>
    </row>
    <row r="26" spans="2:3" x14ac:dyDescent="0.25">
      <c r="B26" t="s">
        <v>74</v>
      </c>
      <c r="C26" t="s">
        <v>84</v>
      </c>
    </row>
    <row r="27" spans="2:3" x14ac:dyDescent="0.25">
      <c r="B27" t="s">
        <v>75</v>
      </c>
      <c r="C27" t="s">
        <v>85</v>
      </c>
    </row>
    <row r="28" spans="2:3" x14ac:dyDescent="0.25">
      <c r="B28" t="s">
        <v>76</v>
      </c>
      <c r="C28" t="s">
        <v>87</v>
      </c>
    </row>
    <row r="29" spans="2:3" x14ac:dyDescent="0.25">
      <c r="B29" t="s">
        <v>77</v>
      </c>
      <c r="C29" t="s">
        <v>84</v>
      </c>
    </row>
    <row r="30" spans="2:3" x14ac:dyDescent="0.25">
      <c r="B30" t="s">
        <v>78</v>
      </c>
      <c r="C30" t="s">
        <v>86</v>
      </c>
    </row>
    <row r="31" spans="2:3" x14ac:dyDescent="0.25">
      <c r="B31" t="s">
        <v>79</v>
      </c>
      <c r="C31" t="s">
        <v>85</v>
      </c>
    </row>
    <row r="32" spans="2:3" x14ac:dyDescent="0.25">
      <c r="B32" t="s">
        <v>80</v>
      </c>
      <c r="C32" t="s">
        <v>88</v>
      </c>
    </row>
    <row r="33" spans="2:3" x14ac:dyDescent="0.25">
      <c r="B33" t="s">
        <v>81</v>
      </c>
      <c r="C33" t="s">
        <v>87</v>
      </c>
    </row>
    <row r="34" spans="2:3" x14ac:dyDescent="0.25">
      <c r="B34" t="s">
        <v>82</v>
      </c>
      <c r="C34" t="s">
        <v>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C87FB-389A-4ADC-84A7-5443814E368F}">
  <dimension ref="A1:P17"/>
  <sheetViews>
    <sheetView tabSelected="1" topLeftCell="B1" zoomScale="85" zoomScaleNormal="85" workbookViewId="0">
      <selection activeCell="I6" sqref="I6"/>
    </sheetView>
  </sheetViews>
  <sheetFormatPr defaultRowHeight="15" x14ac:dyDescent="0.25"/>
  <cols>
    <col min="1" max="1" width="2" bestFit="1" customWidth="1"/>
    <col min="2" max="2" width="39.7109375" customWidth="1"/>
    <col min="3" max="3" width="39.7109375" style="25" customWidth="1"/>
    <col min="4" max="4" width="17.42578125" style="30" customWidth="1"/>
    <col min="5" max="6" width="17.42578125" style="25" customWidth="1"/>
    <col min="7" max="7" width="17.42578125" style="29" customWidth="1"/>
    <col min="8" max="9" width="17.42578125" customWidth="1"/>
    <col min="10" max="10" width="17.42578125" style="29" customWidth="1"/>
    <col min="11" max="12" width="17.42578125" customWidth="1"/>
    <col min="13" max="13" width="17.42578125" style="29" customWidth="1"/>
    <col min="14" max="15" width="17.42578125" customWidth="1"/>
    <col min="16" max="16" width="24.7109375" style="34" customWidth="1"/>
  </cols>
  <sheetData>
    <row r="1" spans="1:16" x14ac:dyDescent="0.25">
      <c r="B1" s="3"/>
      <c r="C1" s="31"/>
      <c r="D1" s="26" t="s">
        <v>125</v>
      </c>
      <c r="E1" s="26"/>
      <c r="F1" s="26"/>
      <c r="G1" s="26" t="s">
        <v>135</v>
      </c>
      <c r="H1" s="26"/>
      <c r="I1" s="26"/>
      <c r="J1" s="26" t="s">
        <v>146</v>
      </c>
      <c r="K1" s="26"/>
      <c r="L1" s="26"/>
      <c r="M1" s="26" t="s">
        <v>155</v>
      </c>
      <c r="N1" s="26"/>
      <c r="O1" s="26"/>
    </row>
    <row r="2" spans="1:16" x14ac:dyDescent="0.25">
      <c r="A2" s="21"/>
      <c r="B2" s="22" t="s">
        <v>99</v>
      </c>
      <c r="C2" s="27" t="s">
        <v>156</v>
      </c>
      <c r="D2" s="28" t="s">
        <v>100</v>
      </c>
      <c r="E2" s="27" t="s">
        <v>101</v>
      </c>
      <c r="F2" s="27" t="s">
        <v>102</v>
      </c>
      <c r="G2" s="28" t="s">
        <v>100</v>
      </c>
      <c r="H2" s="27" t="s">
        <v>101</v>
      </c>
      <c r="I2" s="27" t="s">
        <v>102</v>
      </c>
      <c r="J2" s="28" t="s">
        <v>100</v>
      </c>
      <c r="K2" s="27" t="s">
        <v>101</v>
      </c>
      <c r="L2" s="27" t="s">
        <v>102</v>
      </c>
      <c r="M2" s="28" t="s">
        <v>100</v>
      </c>
      <c r="N2" s="27" t="s">
        <v>101</v>
      </c>
      <c r="O2" s="27" t="s">
        <v>102</v>
      </c>
    </row>
    <row r="3" spans="1:16" x14ac:dyDescent="0.25">
      <c r="A3" s="21"/>
      <c r="B3" s="22"/>
      <c r="C3" s="27"/>
      <c r="D3" s="28"/>
      <c r="E3" s="27"/>
      <c r="F3" s="27"/>
      <c r="G3" s="28"/>
      <c r="H3" s="27"/>
      <c r="I3" s="27"/>
      <c r="J3" s="28"/>
      <c r="K3" s="27"/>
      <c r="L3" s="27"/>
      <c r="M3" s="28"/>
      <c r="N3" s="27"/>
      <c r="O3" s="27"/>
    </row>
    <row r="4" spans="1:16" ht="78.75" x14ac:dyDescent="0.25">
      <c r="A4" s="23">
        <v>1</v>
      </c>
      <c r="B4" s="24" t="s">
        <v>103</v>
      </c>
      <c r="C4" s="32" t="s">
        <v>157</v>
      </c>
      <c r="D4" s="28" t="s">
        <v>104</v>
      </c>
      <c r="E4" s="27" t="s">
        <v>105</v>
      </c>
      <c r="F4" s="27" t="s">
        <v>106</v>
      </c>
      <c r="G4" s="28" t="s">
        <v>126</v>
      </c>
      <c r="H4" s="27" t="s">
        <v>127</v>
      </c>
      <c r="I4" s="27" t="s">
        <v>128</v>
      </c>
      <c r="J4" s="28" t="s">
        <v>137</v>
      </c>
      <c r="K4" s="27" t="s">
        <v>138</v>
      </c>
      <c r="L4" s="27" t="s">
        <v>128</v>
      </c>
      <c r="M4" s="28" t="s">
        <v>137</v>
      </c>
      <c r="N4" s="27" t="s">
        <v>138</v>
      </c>
      <c r="O4" s="27" t="s">
        <v>128</v>
      </c>
      <c r="P4" s="35" t="s">
        <v>128</v>
      </c>
    </row>
    <row r="5" spans="1:16" x14ac:dyDescent="0.25">
      <c r="A5" s="23"/>
      <c r="B5" s="24"/>
      <c r="C5" s="32"/>
      <c r="D5" s="28"/>
      <c r="E5" s="27"/>
      <c r="F5" s="27"/>
      <c r="G5" s="28"/>
      <c r="H5" s="27"/>
      <c r="I5" s="27"/>
      <c r="J5" s="28"/>
      <c r="K5" s="27"/>
      <c r="L5" s="27"/>
      <c r="M5" s="28"/>
      <c r="N5" s="27"/>
      <c r="O5" s="27"/>
    </row>
    <row r="6" spans="1:16" ht="135" x14ac:dyDescent="0.25">
      <c r="A6" s="23">
        <v>2</v>
      </c>
      <c r="B6" s="24" t="s">
        <v>107</v>
      </c>
      <c r="C6" s="32" t="s">
        <v>158</v>
      </c>
      <c r="D6" s="28" t="s">
        <v>108</v>
      </c>
      <c r="E6" s="27" t="s">
        <v>109</v>
      </c>
      <c r="F6" s="27" t="s">
        <v>110</v>
      </c>
      <c r="G6" s="28" t="s">
        <v>108</v>
      </c>
      <c r="H6" s="27" t="s">
        <v>109</v>
      </c>
      <c r="I6" s="27" t="s">
        <v>110</v>
      </c>
      <c r="J6" s="28" t="s">
        <v>139</v>
      </c>
      <c r="K6" s="27" t="s">
        <v>109</v>
      </c>
      <c r="L6" s="27" t="s">
        <v>110</v>
      </c>
      <c r="M6" s="28" t="s">
        <v>139</v>
      </c>
      <c r="N6" s="27" t="s">
        <v>109</v>
      </c>
      <c r="O6" s="27" t="s">
        <v>110</v>
      </c>
    </row>
    <row r="7" spans="1:16" x14ac:dyDescent="0.25">
      <c r="A7" s="23"/>
      <c r="B7" s="24"/>
      <c r="C7" s="32"/>
      <c r="D7" s="28"/>
      <c r="E7" s="27"/>
      <c r="F7" s="27"/>
      <c r="G7" s="28"/>
      <c r="H7" s="27"/>
      <c r="I7" s="27"/>
      <c r="J7" s="28"/>
      <c r="K7" s="27"/>
      <c r="L7" s="27"/>
      <c r="M7" s="28"/>
      <c r="N7" s="27"/>
      <c r="O7" s="27"/>
    </row>
    <row r="8" spans="1:16" ht="157.5" x14ac:dyDescent="0.25">
      <c r="A8" s="23">
        <v>3</v>
      </c>
      <c r="B8" s="24" t="s">
        <v>111</v>
      </c>
      <c r="C8" s="33" t="s">
        <v>159</v>
      </c>
      <c r="D8" s="28" t="s">
        <v>112</v>
      </c>
      <c r="E8" s="27" t="s">
        <v>113</v>
      </c>
      <c r="F8" s="27" t="s">
        <v>106</v>
      </c>
      <c r="G8" s="28" t="s">
        <v>115</v>
      </c>
      <c r="H8" s="27" t="s">
        <v>129</v>
      </c>
      <c r="I8" s="27" t="s">
        <v>106</v>
      </c>
      <c r="J8" s="28" t="s">
        <v>115</v>
      </c>
      <c r="K8" s="27" t="s">
        <v>140</v>
      </c>
      <c r="L8" s="27" t="s">
        <v>106</v>
      </c>
      <c r="M8" s="28" t="s">
        <v>115</v>
      </c>
      <c r="N8" s="27" t="s">
        <v>147</v>
      </c>
      <c r="O8" s="27" t="s">
        <v>106</v>
      </c>
    </row>
    <row r="9" spans="1:16" x14ac:dyDescent="0.25">
      <c r="A9" s="23"/>
      <c r="B9" s="24"/>
      <c r="C9" s="33"/>
      <c r="D9" s="28"/>
      <c r="E9" s="27"/>
      <c r="F9" s="27"/>
      <c r="G9" s="28"/>
      <c r="H9" s="27"/>
      <c r="I9" s="27"/>
      <c r="J9" s="28"/>
      <c r="K9" s="27"/>
      <c r="L9" s="27"/>
      <c r="M9" s="28"/>
      <c r="N9" s="27"/>
      <c r="O9" s="27"/>
    </row>
    <row r="10" spans="1:16" ht="213.75" x14ac:dyDescent="0.25">
      <c r="A10" s="23">
        <v>4</v>
      </c>
      <c r="B10" s="24" t="s">
        <v>114</v>
      </c>
      <c r="C10" s="32" t="s">
        <v>160</v>
      </c>
      <c r="D10" s="28" t="s">
        <v>115</v>
      </c>
      <c r="E10" s="27" t="s">
        <v>116</v>
      </c>
      <c r="F10" s="27" t="s">
        <v>106</v>
      </c>
      <c r="G10" s="28"/>
      <c r="H10" s="27"/>
      <c r="I10" s="27"/>
      <c r="J10" s="28" t="s">
        <v>115</v>
      </c>
      <c r="K10" s="27" t="s">
        <v>141</v>
      </c>
      <c r="L10" s="27" t="s">
        <v>136</v>
      </c>
      <c r="M10" s="28" t="s">
        <v>148</v>
      </c>
      <c r="N10" s="27" t="s">
        <v>149</v>
      </c>
      <c r="O10" s="27" t="s">
        <v>150</v>
      </c>
      <c r="P10" s="36" t="s">
        <v>150</v>
      </c>
    </row>
    <row r="11" spans="1:16" x14ac:dyDescent="0.25">
      <c r="A11" s="23"/>
      <c r="B11" s="24"/>
      <c r="C11" s="32"/>
      <c r="D11" s="28"/>
      <c r="E11" s="27"/>
      <c r="F11" s="27"/>
      <c r="G11" s="28"/>
      <c r="H11" s="27"/>
      <c r="I11" s="27"/>
      <c r="J11" s="28"/>
      <c r="K11" s="27"/>
      <c r="L11" s="27"/>
      <c r="M11" s="28"/>
      <c r="N11" s="27"/>
      <c r="O11" s="27"/>
    </row>
    <row r="12" spans="1:16" ht="123.75" x14ac:dyDescent="0.25">
      <c r="A12" s="23">
        <v>5</v>
      </c>
      <c r="B12" s="24" t="s">
        <v>117</v>
      </c>
      <c r="C12" s="32" t="s">
        <v>161</v>
      </c>
      <c r="D12" s="28" t="s">
        <v>118</v>
      </c>
      <c r="E12" s="27" t="s">
        <v>119</v>
      </c>
      <c r="F12" s="27" t="s">
        <v>106</v>
      </c>
      <c r="G12" s="28" t="s">
        <v>115</v>
      </c>
      <c r="H12" s="27" t="s">
        <v>130</v>
      </c>
      <c r="I12" s="27" t="s">
        <v>131</v>
      </c>
      <c r="J12" s="28" t="s">
        <v>115</v>
      </c>
      <c r="K12" s="27" t="s">
        <v>142</v>
      </c>
      <c r="L12" s="27" t="s">
        <v>143</v>
      </c>
      <c r="M12" s="28"/>
      <c r="N12" s="27"/>
      <c r="O12" s="27"/>
      <c r="P12" s="35" t="s">
        <v>165</v>
      </c>
    </row>
    <row r="13" spans="1:16" x14ac:dyDescent="0.25">
      <c r="A13" s="23"/>
      <c r="B13" s="24"/>
      <c r="C13" s="32"/>
      <c r="D13" s="28"/>
      <c r="E13" s="27"/>
      <c r="F13" s="27"/>
      <c r="G13" s="28"/>
      <c r="H13" s="27"/>
      <c r="I13" s="27"/>
      <c r="J13" s="28"/>
      <c r="K13" s="27"/>
      <c r="L13" s="27"/>
      <c r="M13" s="28"/>
      <c r="N13" s="27"/>
      <c r="O13" s="27"/>
    </row>
    <row r="14" spans="1:16" ht="225" x14ac:dyDescent="0.25">
      <c r="A14" s="23">
        <v>6</v>
      </c>
      <c r="B14" s="24" t="s">
        <v>120</v>
      </c>
      <c r="C14" s="32" t="s">
        <v>162</v>
      </c>
      <c r="D14" s="28" t="s">
        <v>121</v>
      </c>
      <c r="E14" s="27" t="s">
        <v>122</v>
      </c>
      <c r="F14" s="27" t="s">
        <v>123</v>
      </c>
      <c r="G14" s="28" t="s">
        <v>121</v>
      </c>
      <c r="H14" s="27" t="s">
        <v>132</v>
      </c>
      <c r="I14" s="27" t="s">
        <v>106</v>
      </c>
      <c r="J14" s="28"/>
      <c r="K14" s="27"/>
      <c r="L14" s="27"/>
      <c r="M14" s="28" t="s">
        <v>151</v>
      </c>
      <c r="N14" s="27" t="s">
        <v>152</v>
      </c>
      <c r="O14" s="27" t="s">
        <v>153</v>
      </c>
      <c r="P14" s="35" t="s">
        <v>164</v>
      </c>
    </row>
    <row r="15" spans="1:16" x14ac:dyDescent="0.25">
      <c r="A15" s="23"/>
      <c r="B15" s="24"/>
      <c r="C15" s="32"/>
      <c r="D15" s="28"/>
      <c r="E15" s="27"/>
      <c r="F15" s="27"/>
      <c r="G15" s="28"/>
      <c r="H15" s="27"/>
      <c r="I15" s="27"/>
      <c r="J15" s="28"/>
      <c r="K15" s="27"/>
      <c r="L15" s="27"/>
      <c r="M15" s="28"/>
      <c r="N15" s="27"/>
      <c r="O15" s="27"/>
    </row>
    <row r="16" spans="1:16" ht="191.25" x14ac:dyDescent="0.25">
      <c r="A16" s="23">
        <v>7</v>
      </c>
      <c r="B16" s="24" t="s">
        <v>124</v>
      </c>
      <c r="C16" s="33" t="s">
        <v>163</v>
      </c>
      <c r="D16" s="28"/>
      <c r="E16" s="27"/>
      <c r="F16" s="27"/>
      <c r="G16" s="28" t="s">
        <v>133</v>
      </c>
      <c r="H16" s="27" t="s">
        <v>134</v>
      </c>
      <c r="I16" s="27" t="s">
        <v>106</v>
      </c>
      <c r="J16" s="28" t="s">
        <v>144</v>
      </c>
      <c r="K16" s="27" t="s">
        <v>145</v>
      </c>
      <c r="L16" s="27" t="s">
        <v>106</v>
      </c>
      <c r="M16" s="28" t="s">
        <v>133</v>
      </c>
      <c r="N16" s="27" t="s">
        <v>154</v>
      </c>
      <c r="O16" s="27" t="s">
        <v>106</v>
      </c>
    </row>
    <row r="17" spans="1:15" x14ac:dyDescent="0.25">
      <c r="A17" s="23"/>
      <c r="B17" s="24"/>
      <c r="C17" s="33"/>
      <c r="D17" s="28"/>
      <c r="E17" s="27"/>
      <c r="F17" s="27"/>
      <c r="G17" s="28"/>
      <c r="H17" s="27"/>
      <c r="I17" s="27"/>
      <c r="J17" s="28"/>
      <c r="K17" s="27"/>
      <c r="L17" s="27"/>
      <c r="M17" s="28"/>
      <c r="N17" s="27"/>
      <c r="O17" s="27"/>
    </row>
  </sheetData>
  <mergeCells count="27">
    <mergeCell ref="D1:F1"/>
    <mergeCell ref="G1:I1"/>
    <mergeCell ref="J1:L1"/>
    <mergeCell ref="M1:O1"/>
    <mergeCell ref="C6:C7"/>
    <mergeCell ref="C10:C11"/>
    <mergeCell ref="A16:A17"/>
    <mergeCell ref="B16:B17"/>
    <mergeCell ref="C16:C17"/>
    <mergeCell ref="C14:C15"/>
    <mergeCell ref="A14:A15"/>
    <mergeCell ref="B14:B15"/>
    <mergeCell ref="A12:A13"/>
    <mergeCell ref="B12:B13"/>
    <mergeCell ref="C12:C13"/>
    <mergeCell ref="A10:A11"/>
    <mergeCell ref="B10:B11"/>
    <mergeCell ref="A8:A9"/>
    <mergeCell ref="B8:B9"/>
    <mergeCell ref="C8:C9"/>
    <mergeCell ref="A6:A7"/>
    <mergeCell ref="B6:B7"/>
    <mergeCell ref="A4:A5"/>
    <mergeCell ref="B4:B5"/>
    <mergeCell ref="C4:C5"/>
    <mergeCell ref="A2:A3"/>
    <mergeCell ref="B2:B3"/>
  </mergeCells>
  <conditionalFormatting sqref="D2:O16">
    <cfRule type="containsText" dxfId="1" priority="2" operator="containsText" text="\cfnorevisions">
      <formula>NOT(ISERROR(SEARCH("\cfnorevisions",D2)))</formula>
    </cfRule>
  </conditionalFormatting>
  <conditionalFormatting sqref="P10">
    <cfRule type="containsText" dxfId="0" priority="1" operator="containsText" text="\cfnorevisions">
      <formula>NOT(ISERROR(SEARCH("\cfnorevisions",P10)))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Chipsat-1 Work</vt:lpstr>
      <vt:lpstr>ChipSat-1 Cost</vt:lpstr>
      <vt:lpstr>POQUITO Work</vt:lpstr>
      <vt:lpstr>CF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Konstantinos KANAVOURAS</dc:creator>
  <cp:lastModifiedBy>Konstantinos KANAVOURAS</cp:lastModifiedBy>
  <dcterms:created xsi:type="dcterms:W3CDTF">2015-06-05T18:19:34Z</dcterms:created>
  <dcterms:modified xsi:type="dcterms:W3CDTF">2026-02-11T18:53:14Z</dcterms:modified>
</cp:coreProperties>
</file>