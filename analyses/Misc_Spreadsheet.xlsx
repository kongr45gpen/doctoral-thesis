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konstantinos.kanavou\Documents\git\phd-thesis\analyses\"/>
    </mc:Choice>
  </mc:AlternateContent>
  <xr:revisionPtr revIDLastSave="0" documentId="13_ncr:1_{8076AB45-0C1D-4704-836B-DA5BF8B6839E}" xr6:coauthVersionLast="47" xr6:coauthVersionMax="47" xr10:uidLastSave="{00000000-0000-0000-0000-000000000000}"/>
  <bookViews>
    <workbookView xWindow="38280" yWindow="2985" windowWidth="29040" windowHeight="15720" activeTab="1" xr2:uid="{00000000-000D-0000-FFFF-FFFF00000000}"/>
  </bookViews>
  <sheets>
    <sheet name="Chipsat-1 Work" sheetId="1" r:id="rId1"/>
    <sheet name="Sheet1" sheetId="3" r:id="rId2"/>
    <sheet name="ChipSat-1 Cos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31" i="1"/>
  <c r="G32" i="1"/>
  <c r="G29" i="1"/>
  <c r="H25" i="1"/>
  <c r="D32" i="1"/>
  <c r="E31" i="1"/>
  <c r="D29" i="1"/>
  <c r="C32" i="1"/>
  <c r="C31" i="1"/>
  <c r="C29" i="1"/>
  <c r="D16" i="2"/>
  <c r="B2" i="2"/>
  <c r="B12" i="2" l="1"/>
  <c r="B14" i="2" s="1"/>
  <c r="D11" i="1" l="1"/>
  <c r="D10" i="1"/>
  <c r="D9" i="1"/>
  <c r="D4" i="1"/>
  <c r="B16" i="1"/>
  <c r="D16" i="1" s="1"/>
  <c r="B15" i="1"/>
  <c r="D15" i="1" s="1"/>
  <c r="B19" i="1" l="1" a="1"/>
  <c r="B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<sst xmlns="http://schemas.openxmlformats.org/spreadsheetml/2006/main" count="84" uniqueCount="79">
  <si>
    <t>ChipSat-1 Person Hours</t>
  </si>
  <si>
    <t>Hours</t>
  </si>
  <si>
    <t>Sample of initial data: 2022-11</t>
  </si>
  <si>
    <t>Systems Engineering (K)</t>
  </si>
  <si>
    <t>Project Management (O)</t>
  </si>
  <si>
    <t>Orbital Analysis</t>
  </si>
  <si>
    <t>Antenna Simulation</t>
  </si>
  <si>
    <t>?</t>
  </si>
  <si>
    <t>Test Campaign QM</t>
  </si>
  <si>
    <t>Test Campaign FM</t>
  </si>
  <si>
    <t>Test Campaign Antenna</t>
  </si>
  <si>
    <t>Antenna Testing E/M</t>
  </si>
  <si>
    <t>Person Months</t>
  </si>
  <si>
    <t>Scenario 0: Actual</t>
  </si>
  <si>
    <t>Prototyping (K)</t>
  </si>
  <si>
    <t>Integration (K)</t>
  </si>
  <si>
    <t>Software Development (K)</t>
  </si>
  <si>
    <t>Processed data</t>
  </si>
  <si>
    <t>Cost driver</t>
  </si>
  <si>
    <t>Cost (EUR)</t>
  </si>
  <si>
    <t>Details</t>
  </si>
  <si>
    <t>Percentage of total costs</t>
  </si>
  <si>
    <t>Breadboard model</t>
  </si>
  <si>
    <t>Components purchase</t>
  </si>
  <si>
    <t>0,6</t>
  </si>
  <si>
    <t>Structural model (SM)</t>
  </si>
  <si>
    <t>The ChipSat-1 SM was built with an empty PCB and the antennas with their deployment mechanism</t>
  </si>
  <si>
    <t>0,06</t>
  </si>
  <si>
    <t>SM testing</t>
  </si>
  <si>
    <t>Costs of vibration testing (detailed in Table 4)</t>
  </si>
  <si>
    <t>7,3</t>
  </si>
  <si>
    <t>Interface bracket for SM testing and adapters for test platform</t>
  </si>
  <si>
    <t>One aluminum interface bracket and two vibration test adapters (vertical + horizontal)</t>
  </si>
  <si>
    <t>8,9</t>
  </si>
  <si>
    <t>Costs from components purchasing, manufacturing, and assembly with subcontractor</t>
  </si>
  <si>
    <t>14,9</t>
  </si>
  <si>
    <t>16,3</t>
  </si>
  <si>
    <t>ChipSat-1 qualification</t>
  </si>
  <si>
    <t>Costs of qualification testing, random vibration + thermal vacuum and thermal cycling (detailed in Table 4)</t>
  </si>
  <si>
    <t>15,2</t>
  </si>
  <si>
    <t>ChipSat-1 acceptance</t>
  </si>
  <si>
    <t>Costs of acceptance testing, random vibrations (detailed in Table 4)</t>
  </si>
  <si>
    <t>Interface bracket with payload and qualification and acceptance test adapters</t>
  </si>
  <si>
    <t>Two sets of interface brackets and qualification and acceptance tests adapters were manufactured due to last minute interface requirements change</t>
  </si>
  <si>
    <t>(580EUR spent on brackets and adapters that were obsolete after late design changes)</t>
  </si>
  <si>
    <t>21,3</t>
  </si>
  <si>
    <t>Total costs</t>
  </si>
  <si>
    <t>Interface bracket with payload and qualification and acceptance test adapters
Obsolete brackets and adapters after late design changes</t>
  </si>
  <si>
    <t>Iter</t>
  </si>
  <si>
    <t>1,3</t>
  </si>
  <si>
    <t>4,5</t>
  </si>
  <si>
    <t>EM Manufacturing + Components</t>
  </si>
  <si>
    <t>QM and FM Manufacturing + Components</t>
  </si>
  <si>
    <t>CRITERION</t>
  </si>
  <si>
    <t>Cost</t>
  </si>
  <si>
    <t>Time</t>
  </si>
  <si>
    <t>Risk</t>
  </si>
  <si>
    <t>BM/EM model yes/no</t>
  </si>
  <si>
    <t>Extra time spent in design</t>
  </si>
  <si>
    <t>Single slice yes/no</t>
  </si>
  <si>
    <t>Analysis instead of test yes/no</t>
  </si>
  <si>
    <t>Constants</t>
  </si>
  <si>
    <t>Salary/Hour</t>
  </si>
  <si>
    <t>Init. Redesign Chance</t>
  </si>
  <si>
    <t>Cumul. Redesign Chance</t>
  </si>
  <si>
    <t>Cost of Redesign</t>
  </si>
  <si>
    <t>POQUITO Person hours</t>
  </si>
  <si>
    <t>No.</t>
  </si>
  <si>
    <t>Development Time Driver</t>
  </si>
  <si>
    <t>Time Spent hours</t>
  </si>
  <si>
    <t>Prototyping</t>
  </si>
  <si>
    <t>Integration</t>
  </si>
  <si>
    <t>Software Development</t>
  </si>
  <si>
    <t>Project Management</t>
  </si>
  <si>
    <t>Antenna Testing</t>
  </si>
  <si>
    <t>Test Campaign (Structural Model)</t>
  </si>
  <si>
    <t>Test Campaign (QM)</t>
  </si>
  <si>
    <t>Test Campaign (FM)</t>
  </si>
  <si>
    <t>Total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</si>
</sst>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right"/>
    </xf>
    <xf numFmtId="43" fontId="0" fillId="0" borderId="0" xfId="1" applyFont="1"/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justify" vertical="center"/>
    </xf>
    <xf numFmtId="0" fontId="4" fillId="0" borderId="0" xfId="0" applyFont="1" applyAlignment="1">
      <alignment horizontal="center" vertical="center" wrapText="1"/>
    </xf>
    <xf numFmtId="2" fontId="0" fillId="0" borderId="0" xfId="0" applyNumberFormat="1"/>
    <xf numFmtId="0" fontId="0" fillId="2" borderId="0" xfId="0" applyFill="1"/>
    <xf numFmtId="9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476249</xdr:colOff>
      <xdr:row>1</xdr:row>
      <xdr:rowOff>229279</xdr:rowOff>
    </xdr:from>
    <xdr:to>
      <xdr:col>24</xdr:col>
      <xdr:colOff>240232</xdr:colOff>
      <xdr:row>16</xdr:row>
      <xdr:rowOff>201239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1C6627-A49C-AD5F-5FA1-F187D747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25324" y="619804"/>
          <a:ext cx="10127183" cy="5829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workbookViewId="0">
      <selection activeCell="F23" sqref="F23"/>
    </sheetView>
  </sheetViews>
  <sheetFormatPr defaultRowHeight="15" x14ac:dyDescent="0.25"/>
  <cols>
    <col min="1" max="1" width="28" bestFit="1" customWidth="1"/>
    <col min="2" max="2" width="12" customWidth="1"/>
    <col min="7" max="7" width="12.85546875" bestFit="1" customWidth="1"/>
  </cols>
  <sheetData>
    <row r="1" spans="1:4" x14ac:dyDescent="0.25">
      <c r="A1" t="s">
        <v>0</v>
      </c>
      <c r="B1" s="1" t="s">
        <v>1</v>
      </c>
    </row>
    <row r="2" spans="1:4" x14ac:dyDescent="0.25">
      <c r="B2" t="s">
        <v>2</v>
      </c>
      <c r="D2" t="s">
        <v>17</v>
      </c>
    </row>
    <row r="4" spans="1:4" x14ac:dyDescent="0.25">
      <c r="A4" t="s">
        <v>11</v>
      </c>
      <c r="B4">
        <v>48</v>
      </c>
      <c r="D4">
        <f>B4</f>
        <v>48</v>
      </c>
    </row>
    <row r="5" spans="1:4" x14ac:dyDescent="0.25">
      <c r="A5" t="s">
        <v>14</v>
      </c>
      <c r="D5">
        <v>75</v>
      </c>
    </row>
    <row r="6" spans="1:4" x14ac:dyDescent="0.25">
      <c r="A6" t="s">
        <v>15</v>
      </c>
      <c r="D6">
        <v>75</v>
      </c>
    </row>
    <row r="7" spans="1:4" x14ac:dyDescent="0.25">
      <c r="A7" t="s">
        <v>16</v>
      </c>
      <c r="D7">
        <v>75</v>
      </c>
    </row>
    <row r="8" spans="1:4" x14ac:dyDescent="0.25">
      <c r="A8" t="s">
        <v>3</v>
      </c>
      <c r="B8">
        <v>224</v>
      </c>
    </row>
    <row r="9" spans="1:4" x14ac:dyDescent="0.25">
      <c r="A9" t="s">
        <v>4</v>
      </c>
      <c r="B9">
        <v>112</v>
      </c>
      <c r="D9">
        <f>B9</f>
        <v>112</v>
      </c>
    </row>
    <row r="10" spans="1:4" x14ac:dyDescent="0.25">
      <c r="A10" t="s">
        <v>5</v>
      </c>
      <c r="B10">
        <v>10</v>
      </c>
      <c r="C10" t="s">
        <v>7</v>
      </c>
      <c r="D10">
        <f>B10</f>
        <v>10</v>
      </c>
    </row>
    <row r="11" spans="1:4" x14ac:dyDescent="0.25">
      <c r="A11" t="s">
        <v>6</v>
      </c>
      <c r="B11">
        <v>24</v>
      </c>
      <c r="C11" t="s">
        <v>7</v>
      </c>
      <c r="D11">
        <f>B11</f>
        <v>24</v>
      </c>
    </row>
    <row r="14" spans="1:4" x14ac:dyDescent="0.25">
      <c r="A14" t="s">
        <v>10</v>
      </c>
      <c r="B14">
        <v>12</v>
      </c>
      <c r="D14">
        <v>0</v>
      </c>
    </row>
    <row r="15" spans="1:4" x14ac:dyDescent="0.25">
      <c r="A15" t="s">
        <v>8</v>
      </c>
      <c r="B15">
        <f>3*8</f>
        <v>24</v>
      </c>
      <c r="D15">
        <f>B15</f>
        <v>24</v>
      </c>
    </row>
    <row r="16" spans="1:4" x14ac:dyDescent="0.25">
      <c r="A16" t="s">
        <v>9</v>
      </c>
      <c r="B16">
        <f>3*8</f>
        <v>24</v>
      </c>
      <c r="D16">
        <f>B16</f>
        <v>24</v>
      </c>
    </row>
    <row r="19" spans="1:8" x14ac:dyDescent="0.25">
      <c r="A19" t="s">
        <v>12</v>
      </c>
      <c r="B19" s="2" cm="1">
        <f t="array" ref="B19">SUM(B3:B18/152)</f>
        <v>3.1447368421052633</v>
      </c>
    </row>
    <row r="22" spans="1:8" x14ac:dyDescent="0.25">
      <c r="A22" s="3" t="s">
        <v>13</v>
      </c>
      <c r="D22" s="3"/>
    </row>
    <row r="23" spans="1:8" x14ac:dyDescent="0.25">
      <c r="D23" s="3"/>
    </row>
    <row r="24" spans="1:8" x14ac:dyDescent="0.25">
      <c r="A24" s="3" t="s">
        <v>61</v>
      </c>
      <c r="B24" s="3" t="s">
        <v>62</v>
      </c>
      <c r="D24" s="3" t="s">
        <v>63</v>
      </c>
      <c r="F24" s="3" t="s">
        <v>64</v>
      </c>
      <c r="H24" s="3" t="s">
        <v>65</v>
      </c>
    </row>
    <row r="25" spans="1:8" x14ac:dyDescent="0.25">
      <c r="B25" s="14">
        <v>133</v>
      </c>
      <c r="D25" s="15">
        <v>0.25</v>
      </c>
      <c r="F25" s="15">
        <v>0.25</v>
      </c>
      <c r="H25">
        <f>2690+75*B25</f>
        <v>12665</v>
      </c>
    </row>
    <row r="28" spans="1:8" x14ac:dyDescent="0.25">
      <c r="A28" s="3" t="s">
        <v>53</v>
      </c>
      <c r="C28" t="s">
        <v>54</v>
      </c>
      <c r="D28" t="s">
        <v>55</v>
      </c>
      <c r="E28" t="s">
        <v>56</v>
      </c>
    </row>
    <row r="29" spans="1:8" x14ac:dyDescent="0.25">
      <c r="A29" t="s">
        <v>57</v>
      </c>
      <c r="B29">
        <v>1</v>
      </c>
      <c r="C29" s="13">
        <f>-450-1270</f>
        <v>-1720</v>
      </c>
      <c r="D29" s="13">
        <f>-75</f>
        <v>-75</v>
      </c>
      <c r="E29" s="13">
        <v>3</v>
      </c>
      <c r="G29" s="13">
        <f>C29+$B$25*D29+($D$25+E29*$F$25)*$H$25</f>
        <v>970</v>
      </c>
    </row>
    <row r="30" spans="1:8" x14ac:dyDescent="0.25">
      <c r="A30" t="s">
        <v>58</v>
      </c>
      <c r="B30">
        <v>2</v>
      </c>
      <c r="C30" s="13">
        <v>0</v>
      </c>
      <c r="D30" s="13">
        <v>75</v>
      </c>
      <c r="E30" s="13">
        <v>-2</v>
      </c>
      <c r="G30" s="13">
        <f t="shared" ref="G30:G32" si="0">C30+$B$25*D30+($D$25+E30*$F$25)*$H$25</f>
        <v>6808.75</v>
      </c>
    </row>
    <row r="31" spans="1:8" x14ac:dyDescent="0.25">
      <c r="A31" t="s">
        <v>59</v>
      </c>
      <c r="B31">
        <v>3</v>
      </c>
      <c r="C31" s="13">
        <f>120</f>
        <v>120</v>
      </c>
      <c r="D31" s="13">
        <v>75</v>
      </c>
      <c r="E31" s="13">
        <f>-1</f>
        <v>-1</v>
      </c>
      <c r="G31" s="13">
        <f t="shared" si="0"/>
        <v>10095</v>
      </c>
    </row>
    <row r="32" spans="1:8" x14ac:dyDescent="0.25">
      <c r="A32" t="s">
        <v>60</v>
      </c>
      <c r="B32">
        <v>4</v>
      </c>
      <c r="C32" s="13">
        <f>-630-760</f>
        <v>-1390</v>
      </c>
      <c r="D32" s="13">
        <f>48+132-12-48</f>
        <v>120</v>
      </c>
      <c r="E32" s="13">
        <v>1</v>
      </c>
      <c r="G32" s="13">
        <f t="shared" si="0"/>
        <v>20902.5</v>
      </c>
    </row>
    <row r="33" spans="3:5" x14ac:dyDescent="0.25">
      <c r="C33" s="13"/>
      <c r="D33" s="13"/>
      <c r="E33" s="13"/>
    </row>
    <row r="34" spans="3:5" x14ac:dyDescent="0.25">
      <c r="C34" s="13"/>
      <c r="D34" s="13"/>
      <c r="E34" s="13"/>
    </row>
    <row r="35" spans="3:5" x14ac:dyDescent="0.25">
      <c r="C35" s="13"/>
      <c r="D35" s="13"/>
      <c r="E35" s="13"/>
    </row>
    <row r="36" spans="3:5" x14ac:dyDescent="0.25">
      <c r="C36" s="13"/>
      <c r="D36" s="13"/>
      <c r="E36" s="13"/>
    </row>
  </sheetData>
  <conditionalFormatting sqref="B4:B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{3DF8A6F9-E484-4A5A-8595-8DE72EA63AA4}</x14:id>
        </ext>
      </extLst>
    </cfRule>
  </conditionalFormatting>
  <conditionalFormatting sqref="D4:D1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{3690F3D7-C591-4B98-916A-5B0D8BD1D492}</x14:id>
        </ext>
      </extLst>
    </cfRule>
  </conditionalFormatting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F8A6F9-E484-4A5A-8595-8DE72EA63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B4:B16</xm:sqref>
        </x14:conditionalFormatting>
        <x14:conditionalFormatting xmlns:xm="http://schemas.microsoft.com/office/excel/2006/main">
          <x14:cfRule type="dataBar" id="{3690F3D7-C591-4B98-916A-5B0D8BD1D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0396-91EB-4EA5-913D-6AE4021F629A}">
  <dimension ref="A1:C15"/>
  <sheetViews>
    <sheetView tabSelected="1" topLeftCell="A3" workbookViewId="0">
      <selection activeCell="E7" sqref="E7"/>
    </sheetView>
  </sheetViews>
  <sheetFormatPr defaultRowHeight="15" x14ac:dyDescent="0.25"/>
  <cols>
    <col min="1" max="1" width="21.7109375" bestFit="1" customWidth="1"/>
    <col min="2" max="2" width="38.7109375" customWidth="1"/>
    <col min="3" max="3" width="6.140625" bestFit="1" customWidth="1"/>
  </cols>
  <sheetData>
    <row r="1" spans="1:3" x14ac:dyDescent="0.25">
      <c r="A1" t="s">
        <v>66</v>
      </c>
    </row>
    <row r="3" spans="1:3" ht="45" customHeight="1" x14ac:dyDescent="0.25">
      <c r="A3" s="18" t="s">
        <v>67</v>
      </c>
      <c r="B3" s="19" t="s">
        <v>68</v>
      </c>
      <c r="C3" s="18" t="s">
        <v>69</v>
      </c>
    </row>
    <row r="4" spans="1:3" ht="15" customHeight="1" x14ac:dyDescent="0.25">
      <c r="A4" s="18">
        <v>1</v>
      </c>
      <c r="B4" s="19" t="s">
        <v>70</v>
      </c>
      <c r="C4" s="18">
        <v>75</v>
      </c>
    </row>
    <row r="5" spans="1:3" ht="15" customHeight="1" x14ac:dyDescent="0.25">
      <c r="A5" s="18">
        <v>2</v>
      </c>
      <c r="B5" s="19" t="s">
        <v>71</v>
      </c>
      <c r="C5" s="18">
        <v>75</v>
      </c>
    </row>
    <row r="6" spans="1:3" ht="30" customHeight="1" x14ac:dyDescent="0.25">
      <c r="A6" s="18">
        <v>3</v>
      </c>
      <c r="B6" s="19" t="s">
        <v>72</v>
      </c>
      <c r="C6" s="18">
        <v>75</v>
      </c>
    </row>
    <row r="7" spans="1:3" ht="30" customHeight="1" x14ac:dyDescent="0.25">
      <c r="A7" s="18">
        <v>4</v>
      </c>
      <c r="B7" s="19" t="s">
        <v>73</v>
      </c>
      <c r="C7" s="18">
        <v>112</v>
      </c>
    </row>
    <row r="8" spans="1:3" ht="15" customHeight="1" x14ac:dyDescent="0.25">
      <c r="A8" s="18">
        <v>5</v>
      </c>
      <c r="B8" s="19" t="s">
        <v>5</v>
      </c>
      <c r="C8" s="18">
        <v>10</v>
      </c>
    </row>
    <row r="9" spans="1:3" ht="30" customHeight="1" x14ac:dyDescent="0.25">
      <c r="A9" s="18">
        <v>6</v>
      </c>
      <c r="B9" s="19" t="s">
        <v>6</v>
      </c>
      <c r="C9" s="18">
        <v>24</v>
      </c>
    </row>
    <row r="10" spans="1:3" ht="15" customHeight="1" x14ac:dyDescent="0.25">
      <c r="A10" s="18">
        <v>7</v>
      </c>
      <c r="B10" s="19" t="s">
        <v>74</v>
      </c>
      <c r="C10" s="18">
        <v>48</v>
      </c>
    </row>
    <row r="11" spans="1:3" ht="75" customHeight="1" x14ac:dyDescent="0.25">
      <c r="A11" s="18">
        <v>9</v>
      </c>
      <c r="B11" s="19" t="s">
        <v>75</v>
      </c>
      <c r="C11" s="18">
        <v>12</v>
      </c>
    </row>
    <row r="12" spans="1:3" ht="30" customHeight="1" x14ac:dyDescent="0.25">
      <c r="A12" s="18">
        <v>10</v>
      </c>
      <c r="B12" s="19" t="s">
        <v>76</v>
      </c>
      <c r="C12" s="18">
        <v>24</v>
      </c>
    </row>
    <row r="13" spans="1:3" ht="30" customHeight="1" x14ac:dyDescent="0.25">
      <c r="A13" s="18">
        <v>11</v>
      </c>
      <c r="B13" s="19" t="s">
        <v>77</v>
      </c>
      <c r="C13" s="18">
        <v>24</v>
      </c>
    </row>
    <row r="14" spans="1:3" ht="15" customHeight="1" x14ac:dyDescent="0.25">
      <c r="A14" s="18"/>
      <c r="B14" s="19" t="s">
        <v>78</v>
      </c>
      <c r="C14" s="18">
        <v>478</v>
      </c>
    </row>
    <row r="15" spans="1:3" x14ac:dyDescent="0.25">
      <c r="A15" s="18"/>
      <c r="B15" s="19"/>
      <c r="C15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E47E8-D1A2-4478-949E-7BB55C35260F}">
  <dimension ref="A1:E16"/>
  <sheetViews>
    <sheetView workbookViewId="0">
      <selection activeCell="D16" sqref="D16"/>
    </sheetView>
  </sheetViews>
  <sheetFormatPr defaultRowHeight="30.75" customHeight="1" x14ac:dyDescent="0.25"/>
  <cols>
    <col min="1" max="1" width="62.28515625" bestFit="1" customWidth="1"/>
    <col min="2" max="2" width="5.5703125" bestFit="1" customWidth="1"/>
    <col min="3" max="3" width="5.5703125" customWidth="1"/>
    <col min="4" max="4" width="61.42578125" bestFit="1" customWidth="1"/>
    <col min="5" max="5" width="21.5703125" customWidth="1"/>
  </cols>
  <sheetData>
    <row r="1" spans="1:5" ht="30.75" customHeight="1" thickBot="1" x14ac:dyDescent="0.3">
      <c r="A1" s="4" t="s">
        <v>18</v>
      </c>
      <c r="B1" s="5" t="s">
        <v>19</v>
      </c>
      <c r="C1" s="5" t="s">
        <v>48</v>
      </c>
      <c r="D1" s="5" t="s">
        <v>20</v>
      </c>
      <c r="E1" s="5" t="s">
        <v>21</v>
      </c>
    </row>
    <row r="2" spans="1:5" ht="30.75" customHeight="1" thickBot="1" x14ac:dyDescent="0.3">
      <c r="A2" s="6" t="s">
        <v>22</v>
      </c>
      <c r="B2" s="7">
        <f>334+120</f>
        <v>454</v>
      </c>
      <c r="C2" s="7" t="s">
        <v>49</v>
      </c>
      <c r="D2" s="7" t="s">
        <v>23</v>
      </c>
      <c r="E2" s="7" t="s">
        <v>24</v>
      </c>
    </row>
    <row r="3" spans="1:5" ht="30.75" customHeight="1" thickBot="1" x14ac:dyDescent="0.3">
      <c r="A3" s="6" t="s">
        <v>25</v>
      </c>
      <c r="B3" s="7">
        <v>5</v>
      </c>
      <c r="C3" s="7">
        <v>3</v>
      </c>
      <c r="D3" s="7" t="s">
        <v>26</v>
      </c>
      <c r="E3" s="7" t="s">
        <v>27</v>
      </c>
    </row>
    <row r="4" spans="1:5" ht="30.75" customHeight="1" thickBot="1" x14ac:dyDescent="0.3">
      <c r="A4" s="6" t="s">
        <v>51</v>
      </c>
      <c r="B4" s="7">
        <v>1274</v>
      </c>
      <c r="C4" s="7">
        <v>2</v>
      </c>
      <c r="D4" s="7" t="s">
        <v>34</v>
      </c>
      <c r="E4" s="7" t="s">
        <v>35</v>
      </c>
    </row>
    <row r="5" spans="1:5" ht="30.75" customHeight="1" thickBot="1" x14ac:dyDescent="0.3">
      <c r="A5" s="6" t="s">
        <v>28</v>
      </c>
      <c r="B5" s="7">
        <v>625</v>
      </c>
      <c r="C5" s="7">
        <v>3</v>
      </c>
      <c r="D5" s="7" t="s">
        <v>29</v>
      </c>
      <c r="E5" s="7" t="s">
        <v>30</v>
      </c>
    </row>
    <row r="6" spans="1:5" ht="30.75" customHeight="1" thickBot="1" x14ac:dyDescent="0.3">
      <c r="A6" s="6" t="s">
        <v>31</v>
      </c>
      <c r="B6" s="7">
        <v>760</v>
      </c>
      <c r="C6" s="7">
        <v>3</v>
      </c>
      <c r="D6" s="7" t="s">
        <v>32</v>
      </c>
      <c r="E6" s="7" t="s">
        <v>33</v>
      </c>
    </row>
    <row r="7" spans="1:5" ht="30.75" customHeight="1" thickBot="1" x14ac:dyDescent="0.3">
      <c r="A7" s="6" t="s">
        <v>52</v>
      </c>
      <c r="B7" s="7">
        <v>1392</v>
      </c>
      <c r="C7" s="7">
        <v>4</v>
      </c>
      <c r="D7" s="7" t="s">
        <v>34</v>
      </c>
      <c r="E7" s="7" t="s">
        <v>36</v>
      </c>
    </row>
    <row r="8" spans="1:5" ht="30.75" customHeight="1" thickBot="1" x14ac:dyDescent="0.3">
      <c r="A8" s="6" t="s">
        <v>37</v>
      </c>
      <c r="B8" s="7">
        <v>1300</v>
      </c>
      <c r="C8" s="7">
        <v>4</v>
      </c>
      <c r="D8" s="7" t="s">
        <v>38</v>
      </c>
      <c r="E8" s="7" t="s">
        <v>39</v>
      </c>
    </row>
    <row r="9" spans="1:5" ht="30.75" customHeight="1" thickBot="1" x14ac:dyDescent="0.3">
      <c r="A9" s="6" t="s">
        <v>40</v>
      </c>
      <c r="B9" s="7">
        <v>1300</v>
      </c>
      <c r="C9" s="7">
        <v>5</v>
      </c>
      <c r="D9" s="7" t="s">
        <v>41</v>
      </c>
      <c r="E9" s="7" t="s">
        <v>39</v>
      </c>
    </row>
    <row r="10" spans="1:5" ht="30.75" customHeight="1" x14ac:dyDescent="0.25">
      <c r="A10" s="16" t="s">
        <v>47</v>
      </c>
      <c r="B10" s="16">
        <v>580</v>
      </c>
      <c r="C10" s="16">
        <v>3</v>
      </c>
      <c r="D10" s="8"/>
      <c r="E10" s="8"/>
    </row>
    <row r="11" spans="1:5" ht="30.75" customHeight="1" thickBot="1" x14ac:dyDescent="0.3">
      <c r="A11" s="17"/>
      <c r="B11" s="17"/>
      <c r="C11" s="17"/>
      <c r="D11" s="7"/>
      <c r="E11" s="8"/>
    </row>
    <row r="12" spans="1:5" ht="30.75" customHeight="1" x14ac:dyDescent="0.25">
      <c r="A12" s="16" t="s">
        <v>42</v>
      </c>
      <c r="B12" s="16">
        <f>1820-580</f>
        <v>1240</v>
      </c>
      <c r="C12" s="16" t="s">
        <v>50</v>
      </c>
      <c r="D12" s="8" t="s">
        <v>43</v>
      </c>
      <c r="E12" s="16" t="s">
        <v>45</v>
      </c>
    </row>
    <row r="13" spans="1:5" ht="30.75" customHeight="1" thickBot="1" x14ac:dyDescent="0.3">
      <c r="A13" s="17"/>
      <c r="B13" s="17"/>
      <c r="C13" s="17"/>
      <c r="D13" s="7" t="s">
        <v>44</v>
      </c>
      <c r="E13" s="17"/>
    </row>
    <row r="14" spans="1:5" ht="30.75" customHeight="1" thickBot="1" x14ac:dyDescent="0.3">
      <c r="A14" s="9" t="s">
        <v>46</v>
      </c>
      <c r="B14" s="7">
        <f>SUM(B2:B13)</f>
        <v>8930</v>
      </c>
      <c r="C14" s="12"/>
      <c r="D14" s="10"/>
      <c r="E14" s="10"/>
    </row>
    <row r="15" spans="1:5" ht="30.75" customHeight="1" x14ac:dyDescent="0.25">
      <c r="A15" s="11"/>
    </row>
    <row r="16" spans="1:5" ht="30.75" customHeight="1" x14ac:dyDescent="0.25">
      <c r="D16">
        <f>450+1270+5+760+630+1390+580+1240+1300+1300</f>
        <v>8925</v>
      </c>
    </row>
  </sheetData>
  <mergeCells count="7">
    <mergeCell ref="A12:A13"/>
    <mergeCell ref="B12:B13"/>
    <mergeCell ref="E12:E13"/>
    <mergeCell ref="A10:A11"/>
    <mergeCell ref="B10:B11"/>
    <mergeCell ref="C10:C11"/>
    <mergeCell ref="C12:C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Chipsat-1 Work</vt:lpstr>
      <vt:lpstr>Sheet1</vt:lpstr>
      <vt:lpstr>ChipSat-1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KANAVOURAS</dc:creator>
  <cp:lastModifiedBy>Konstantinos KANAVOURAS</cp:lastModifiedBy>
  <dcterms:created xsi:type="dcterms:W3CDTF">2015-06-05T18:19:34Z</dcterms:created>
  <dcterms:modified xsi:type="dcterms:W3CDTF">2026-01-27T18:02:38Z</dcterms:modified>
</cp:coreProperties>
</file>